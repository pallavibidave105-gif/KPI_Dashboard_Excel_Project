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0" documentId="8_{77E351F1-A95A-410C-B11B-9C5FC3818274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DATA" sheetId="1" r:id="rId1"/>
    <sheet name="DASHBOAR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6" i="1" l="1"/>
  <c r="AH16" i="1"/>
  <c r="AI16" i="1"/>
  <c r="AJ16" i="1"/>
  <c r="AK16" i="1"/>
  <c r="AL16" i="1"/>
  <c r="AM16" i="1"/>
  <c r="AN16" i="1"/>
  <c r="AO16" i="1"/>
  <c r="AP16" i="1"/>
  <c r="AQ16" i="1"/>
  <c r="AR16" i="1"/>
  <c r="AD16" i="1"/>
  <c r="AE16" i="1"/>
  <c r="AF16" i="1"/>
  <c r="AB16" i="1"/>
  <c r="AC16" i="1"/>
  <c r="AA16" i="1"/>
  <c r="D11" i="1" a="1"/>
  <c r="D11" i="1"/>
  <c r="E11" i="1" a="1"/>
  <c r="E11" i="1"/>
  <c r="F11" i="1" a="1"/>
  <c r="F11" i="1"/>
  <c r="G11" i="1" a="1"/>
  <c r="G11" i="1"/>
  <c r="H11" i="1" a="1"/>
  <c r="H11" i="1"/>
  <c r="I11" i="1" a="1"/>
  <c r="I11" i="1"/>
  <c r="J11" i="1" a="1"/>
  <c r="J11" i="1"/>
  <c r="K11" i="1" a="1"/>
  <c r="K11" i="1"/>
  <c r="L11" i="1" a="1"/>
  <c r="L11" i="1"/>
  <c r="M11" i="1" a="1"/>
  <c r="M11" i="1"/>
  <c r="N11" i="1" a="1"/>
  <c r="N11" i="1"/>
  <c r="O11" i="1" a="1"/>
  <c r="O11" i="1"/>
  <c r="P11" i="1" a="1"/>
  <c r="P11" i="1"/>
  <c r="Q11" i="1" a="1"/>
  <c r="Q11" i="1"/>
  <c r="R11" i="1" a="1"/>
  <c r="R11" i="1"/>
  <c r="S11" i="1" a="1"/>
  <c r="S11" i="1"/>
  <c r="T11" i="1" a="1"/>
  <c r="T11" i="1"/>
  <c r="U11" i="1" a="1"/>
  <c r="U11" i="1"/>
  <c r="V11" i="1" a="1"/>
  <c r="V11" i="1"/>
  <c r="W11" i="1" a="1"/>
  <c r="W11" i="1"/>
  <c r="X11" i="1" a="1"/>
  <c r="X11" i="1"/>
  <c r="Y11" i="1" a="1"/>
  <c r="Y11" i="1"/>
  <c r="Z11" i="1" a="1"/>
  <c r="Z11" i="1"/>
  <c r="AA11" i="1" a="1"/>
  <c r="AA11" i="1"/>
  <c r="AB11" i="1" a="1"/>
  <c r="AB11" i="1"/>
  <c r="AC11" i="1" a="1"/>
  <c r="AC11" i="1"/>
  <c r="AD11" i="1" a="1"/>
  <c r="AD11" i="1"/>
  <c r="AE11" i="1" a="1"/>
  <c r="AE11" i="1"/>
  <c r="AF11" i="1" a="1"/>
  <c r="AF11" i="1"/>
  <c r="AG11" i="1" a="1"/>
  <c r="AG11" i="1"/>
  <c r="AH11" i="1" a="1"/>
  <c r="AH11" i="1"/>
  <c r="AI11" i="1" a="1"/>
  <c r="AI11" i="1"/>
  <c r="AJ11" i="1" a="1"/>
  <c r="AJ11" i="1"/>
  <c r="AK11" i="1" a="1"/>
  <c r="AK11" i="1"/>
  <c r="AL11" i="1" a="1"/>
  <c r="AL11" i="1"/>
  <c r="AM11" i="1" a="1"/>
  <c r="AM11" i="1"/>
  <c r="AN11" i="1" a="1"/>
  <c r="AN11" i="1"/>
  <c r="AO11" i="1" a="1"/>
  <c r="AO11" i="1"/>
  <c r="AP11" i="1" a="1"/>
  <c r="AP11" i="1"/>
  <c r="AQ11" i="1" a="1"/>
  <c r="AQ11" i="1"/>
  <c r="AR11" i="1" a="1"/>
  <c r="AR11" i="1"/>
  <c r="D12" i="1" a="1"/>
  <c r="D12" i="1"/>
  <c r="E12" i="1" a="1"/>
  <c r="E12" i="1"/>
  <c r="F12" i="1" a="1"/>
  <c r="F12" i="1"/>
  <c r="G12" i="1" a="1"/>
  <c r="G12" i="1"/>
  <c r="H12" i="1" a="1"/>
  <c r="H12" i="1"/>
  <c r="I12" i="1" a="1"/>
  <c r="I12" i="1"/>
  <c r="J12" i="1" a="1"/>
  <c r="J12" i="1"/>
  <c r="K12" i="1" a="1"/>
  <c r="K12" i="1"/>
  <c r="L12" i="1" a="1"/>
  <c r="L12" i="1"/>
  <c r="M12" i="1" a="1"/>
  <c r="M12" i="1"/>
  <c r="N12" i="1" a="1"/>
  <c r="N12" i="1"/>
  <c r="O12" i="1" a="1"/>
  <c r="O12" i="1"/>
  <c r="P12" i="1" a="1"/>
  <c r="P12" i="1"/>
  <c r="Q12" i="1" a="1"/>
  <c r="Q12" i="1"/>
  <c r="R12" i="1" a="1"/>
  <c r="R12" i="1"/>
  <c r="S12" i="1" a="1"/>
  <c r="S12" i="1"/>
  <c r="T12" i="1" a="1"/>
  <c r="T12" i="1"/>
  <c r="U12" i="1" a="1"/>
  <c r="U12" i="1"/>
  <c r="V12" i="1" a="1"/>
  <c r="V12" i="1"/>
  <c r="W12" i="1" a="1"/>
  <c r="W12" i="1"/>
  <c r="X12" i="1" a="1"/>
  <c r="X12" i="1"/>
  <c r="Y12" i="1" a="1"/>
  <c r="Y12" i="1"/>
  <c r="Z12" i="1" a="1"/>
  <c r="Z12" i="1"/>
  <c r="AA12" i="1" a="1"/>
  <c r="AA12" i="1"/>
  <c r="AB12" i="1" a="1"/>
  <c r="AB12" i="1"/>
  <c r="AC12" i="1" a="1"/>
  <c r="AC12" i="1"/>
  <c r="AD12" i="1" a="1"/>
  <c r="AD12" i="1"/>
  <c r="AE12" i="1" a="1"/>
  <c r="AE12" i="1"/>
  <c r="AF12" i="1" a="1"/>
  <c r="AF12" i="1"/>
  <c r="AG12" i="1" a="1"/>
  <c r="AG12" i="1"/>
  <c r="AH12" i="1" a="1"/>
  <c r="AH12" i="1"/>
  <c r="AI12" i="1" a="1"/>
  <c r="AI12" i="1"/>
  <c r="AJ12" i="1" a="1"/>
  <c r="AJ12" i="1"/>
  <c r="AK12" i="1" a="1"/>
  <c r="AK12" i="1"/>
  <c r="AL12" i="1" a="1"/>
  <c r="AL12" i="1"/>
  <c r="AM12" i="1" a="1"/>
  <c r="AM12" i="1"/>
  <c r="AN12" i="1" a="1"/>
  <c r="AN12" i="1"/>
  <c r="AO12" i="1" a="1"/>
  <c r="AO12" i="1"/>
  <c r="AP12" i="1" a="1"/>
  <c r="AP12" i="1"/>
  <c r="AQ12" i="1" a="1"/>
  <c r="AQ12" i="1"/>
  <c r="AR12" i="1" a="1"/>
  <c r="AR12" i="1"/>
  <c r="D13" i="1" a="1"/>
  <c r="D13" i="1"/>
  <c r="E13" i="1" a="1"/>
  <c r="E13" i="1"/>
  <c r="F13" i="1" a="1"/>
  <c r="F13" i="1"/>
  <c r="G13" i="1" a="1"/>
  <c r="G13" i="1"/>
  <c r="H13" i="1" a="1"/>
  <c r="H13" i="1"/>
  <c r="I13" i="1" a="1"/>
  <c r="I13" i="1"/>
  <c r="J13" i="1" a="1"/>
  <c r="J13" i="1"/>
  <c r="K13" i="1" a="1"/>
  <c r="K13" i="1"/>
  <c r="L13" i="1" a="1"/>
  <c r="L13" i="1"/>
  <c r="M13" i="1" a="1"/>
  <c r="M13" i="1"/>
  <c r="N13" i="1" a="1"/>
  <c r="N13" i="1"/>
  <c r="O13" i="1" a="1"/>
  <c r="O13" i="1"/>
  <c r="P13" i="1" a="1"/>
  <c r="P13" i="1"/>
  <c r="Q13" i="1" a="1"/>
  <c r="Q13" i="1"/>
  <c r="R13" i="1" a="1"/>
  <c r="R13" i="1"/>
  <c r="S13" i="1" a="1"/>
  <c r="S13" i="1"/>
  <c r="T13" i="1" a="1"/>
  <c r="T13" i="1"/>
  <c r="U13" i="1" a="1"/>
  <c r="U13" i="1"/>
  <c r="V13" i="1" a="1"/>
  <c r="V13" i="1"/>
  <c r="W13" i="1" a="1"/>
  <c r="W13" i="1"/>
  <c r="X13" i="1" a="1"/>
  <c r="X13" i="1"/>
  <c r="Y13" i="1" a="1"/>
  <c r="Y13" i="1"/>
  <c r="Z13" i="1" a="1"/>
  <c r="Z13" i="1"/>
  <c r="AA13" i="1" a="1"/>
  <c r="AA13" i="1"/>
  <c r="AB13" i="1" a="1"/>
  <c r="AB13" i="1"/>
  <c r="AC13" i="1" a="1"/>
  <c r="AC13" i="1"/>
  <c r="AD13" i="1" a="1"/>
  <c r="AD13" i="1"/>
  <c r="AE13" i="1" a="1"/>
  <c r="AE13" i="1"/>
  <c r="AF13" i="1" a="1"/>
  <c r="AF13" i="1"/>
  <c r="AG13" i="1" a="1"/>
  <c r="AG13" i="1"/>
  <c r="AH13" i="1" a="1"/>
  <c r="AH13" i="1"/>
  <c r="AI13" i="1" a="1"/>
  <c r="AI13" i="1"/>
  <c r="AJ13" i="1" a="1"/>
  <c r="AJ13" i="1"/>
  <c r="AK13" i="1" a="1"/>
  <c r="AK13" i="1"/>
  <c r="AL13" i="1" a="1"/>
  <c r="AL13" i="1"/>
  <c r="AM13" i="1" a="1"/>
  <c r="AM13" i="1"/>
  <c r="AN13" i="1" a="1"/>
  <c r="AN13" i="1"/>
  <c r="AO13" i="1" a="1"/>
  <c r="AO13" i="1"/>
  <c r="AP13" i="1" a="1"/>
  <c r="AP13" i="1"/>
  <c r="AQ13" i="1" a="1"/>
  <c r="AQ13" i="1"/>
  <c r="AR13" i="1" a="1"/>
  <c r="AR13" i="1"/>
  <c r="D14" i="1" a="1"/>
  <c r="D14" i="1"/>
  <c r="E14" i="1" a="1"/>
  <c r="E14" i="1"/>
  <c r="F14" i="1" a="1"/>
  <c r="F14" i="1"/>
  <c r="G14" i="1" a="1"/>
  <c r="G14" i="1"/>
  <c r="H14" i="1" a="1"/>
  <c r="H14" i="1"/>
  <c r="I14" i="1" a="1"/>
  <c r="I14" i="1"/>
  <c r="J14" i="1" a="1"/>
  <c r="J14" i="1"/>
  <c r="K14" i="1" a="1"/>
  <c r="K14" i="1"/>
  <c r="L14" i="1" a="1"/>
  <c r="L14" i="1"/>
  <c r="M14" i="1" a="1"/>
  <c r="M14" i="1"/>
  <c r="N14" i="1" a="1"/>
  <c r="N14" i="1"/>
  <c r="O14" i="1" a="1"/>
  <c r="O14" i="1"/>
  <c r="P14" i="1" a="1"/>
  <c r="P14" i="1"/>
  <c r="Q14" i="1" a="1"/>
  <c r="Q14" i="1"/>
  <c r="R14" i="1" a="1"/>
  <c r="R14" i="1"/>
  <c r="S14" i="1" a="1"/>
  <c r="S14" i="1"/>
  <c r="T14" i="1" a="1"/>
  <c r="T14" i="1"/>
  <c r="U14" i="1" a="1"/>
  <c r="U14" i="1"/>
  <c r="V14" i="1" a="1"/>
  <c r="V14" i="1"/>
  <c r="W14" i="1" a="1"/>
  <c r="W14" i="1"/>
  <c r="X14" i="1" a="1"/>
  <c r="X14" i="1"/>
  <c r="Y14" i="1" a="1"/>
  <c r="Y14" i="1"/>
  <c r="Z14" i="1" a="1"/>
  <c r="Z14" i="1"/>
  <c r="AA14" i="1" a="1"/>
  <c r="AA14" i="1"/>
  <c r="AB14" i="1" a="1"/>
  <c r="AB14" i="1"/>
  <c r="AC14" i="1" a="1"/>
  <c r="AC14" i="1"/>
  <c r="AD14" i="1" a="1"/>
  <c r="AD14" i="1"/>
  <c r="AE14" i="1" a="1"/>
  <c r="AE14" i="1"/>
  <c r="AF14" i="1" a="1"/>
  <c r="AF14" i="1"/>
  <c r="AG14" i="1" a="1"/>
  <c r="AG14" i="1"/>
  <c r="AH14" i="1" a="1"/>
  <c r="AH14" i="1"/>
  <c r="AI14" i="1" a="1"/>
  <c r="AI14" i="1"/>
  <c r="AJ14" i="1" a="1"/>
  <c r="AJ14" i="1"/>
  <c r="AK14" i="1" a="1"/>
  <c r="AK14" i="1"/>
  <c r="AL14" i="1" a="1"/>
  <c r="AL14" i="1"/>
  <c r="AM14" i="1" a="1"/>
  <c r="AM14" i="1"/>
  <c r="AN14" i="1" a="1"/>
  <c r="AN14" i="1"/>
  <c r="AO14" i="1" a="1"/>
  <c r="AO14" i="1"/>
  <c r="AP14" i="1" a="1"/>
  <c r="AP14" i="1"/>
  <c r="AQ14" i="1" a="1"/>
  <c r="AQ14" i="1"/>
  <c r="AR14" i="1" a="1"/>
  <c r="AR14" i="1"/>
  <c r="D15" i="1" a="1"/>
  <c r="D15" i="1"/>
  <c r="E15" i="1" a="1"/>
  <c r="E15" i="1"/>
  <c r="F15" i="1" a="1"/>
  <c r="F15" i="1"/>
  <c r="G15" i="1" a="1"/>
  <c r="G15" i="1"/>
  <c r="H15" i="1" a="1"/>
  <c r="H15" i="1"/>
  <c r="I15" i="1" a="1"/>
  <c r="I15" i="1"/>
  <c r="J15" i="1" a="1"/>
  <c r="J15" i="1"/>
  <c r="K15" i="1" a="1"/>
  <c r="K15" i="1"/>
  <c r="L15" i="1" a="1"/>
  <c r="L15" i="1"/>
  <c r="M15" i="1" a="1"/>
  <c r="M15" i="1"/>
  <c r="N15" i="1" a="1"/>
  <c r="N15" i="1"/>
  <c r="O15" i="1" a="1"/>
  <c r="O15" i="1"/>
  <c r="P15" i="1" a="1"/>
  <c r="P15" i="1"/>
  <c r="Q15" i="1" a="1"/>
  <c r="Q15" i="1"/>
  <c r="R15" i="1" a="1"/>
  <c r="R15" i="1"/>
  <c r="S15" i="1" a="1"/>
  <c r="S15" i="1"/>
  <c r="T15" i="1" a="1"/>
  <c r="T15" i="1"/>
  <c r="U15" i="1" a="1"/>
  <c r="U15" i="1"/>
  <c r="V15" i="1" a="1"/>
  <c r="V15" i="1"/>
  <c r="W15" i="1" a="1"/>
  <c r="W15" i="1"/>
  <c r="X15" i="1" a="1"/>
  <c r="X15" i="1"/>
  <c r="Y15" i="1" a="1"/>
  <c r="Y15" i="1"/>
  <c r="Z15" i="1" a="1"/>
  <c r="Z15" i="1"/>
  <c r="AA15" i="1" a="1"/>
  <c r="AA15" i="1"/>
  <c r="AB15" i="1" a="1"/>
  <c r="AB15" i="1"/>
  <c r="AC15" i="1" a="1"/>
  <c r="AC15" i="1"/>
  <c r="AD15" i="1" a="1"/>
  <c r="AD15" i="1"/>
  <c r="AE15" i="1" a="1"/>
  <c r="AE15" i="1"/>
  <c r="AF15" i="1" a="1"/>
  <c r="AF15" i="1"/>
  <c r="AG15" i="1" a="1"/>
  <c r="AG15" i="1"/>
  <c r="AH15" i="1" a="1"/>
  <c r="AH15" i="1"/>
  <c r="AI15" i="1" a="1"/>
  <c r="AI15" i="1"/>
  <c r="AJ15" i="1" a="1"/>
  <c r="AJ15" i="1"/>
  <c r="AK15" i="1" a="1"/>
  <c r="AK15" i="1"/>
  <c r="AL15" i="1" a="1"/>
  <c r="AL15" i="1"/>
  <c r="AM15" i="1" a="1"/>
  <c r="AM15" i="1"/>
  <c r="AN15" i="1" a="1"/>
  <c r="AN15" i="1"/>
  <c r="AO15" i="1" a="1"/>
  <c r="AO15" i="1"/>
  <c r="AP15" i="1" a="1"/>
  <c r="AP15" i="1"/>
  <c r="AQ15" i="1" a="1"/>
  <c r="AQ15" i="1"/>
  <c r="AR15" i="1" a="1"/>
  <c r="AR15" i="1"/>
  <c r="C12" i="1" a="1"/>
  <c r="C12" i="1"/>
  <c r="C13" i="1" a="1"/>
  <c r="C13" i="1"/>
  <c r="C14" i="1" a="1"/>
  <c r="C14" i="1"/>
  <c r="C15" i="1" a="1"/>
  <c r="C15" i="1"/>
  <c r="C11" i="1" a="1"/>
  <c r="C11" i="1"/>
  <c r="C21" i="1"/>
  <c r="C22" i="1"/>
  <c r="C20" i="1"/>
  <c r="C19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Q69" i="1"/>
  <c r="AR69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C16" i="1"/>
  <c r="A7" i="2" s="1"/>
  <c r="A28" i="2" l="1"/>
  <c r="A26" i="2"/>
  <c r="A30" i="2" s="1"/>
  <c r="M28" i="2"/>
  <c r="M26" i="2"/>
  <c r="M30" i="2" s="1"/>
  <c r="M7" i="2"/>
  <c r="M9" i="2"/>
  <c r="A9" i="2"/>
  <c r="A11" i="2" s="1"/>
  <c r="M11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<sst xmlns="http://schemas.openxmlformats.org/spreadsheetml/2006/main" count="486" uniqueCount="62">
  <si>
    <t>Q1 2024</t>
  </si>
  <si>
    <t>Q2 2024</t>
  </si>
  <si>
    <t>Q3 2024</t>
  </si>
  <si>
    <t>Q4 2024</t>
  </si>
  <si>
    <t>Q1</t>
  </si>
  <si>
    <t>October</t>
  </si>
  <si>
    <t>November</t>
  </si>
  <si>
    <t>December</t>
  </si>
  <si>
    <t>Revenue</t>
  </si>
  <si>
    <t>Target Revenue</t>
  </si>
  <si>
    <t>Previous Year
Revenue</t>
  </si>
  <si>
    <t>Number of
Customers</t>
  </si>
  <si>
    <t>Number of
New Customers
Target</t>
  </si>
  <si>
    <t>Number of
New Customers</t>
  </si>
  <si>
    <t>Number of
New Customers
Previous Year</t>
  </si>
  <si>
    <t>Customer Acquisition Costs</t>
  </si>
  <si>
    <t>Customer AC (per customer)</t>
  </si>
  <si>
    <t>Customer AC (per customer) Target</t>
  </si>
  <si>
    <t>Customer Aquis. Costs (per customer) PY</t>
  </si>
  <si>
    <t>Revenue per
Customer</t>
  </si>
  <si>
    <t>Revenue per
Customer PY</t>
  </si>
  <si>
    <t>Target Revenue
per Customer</t>
  </si>
  <si>
    <t>Jacob</t>
  </si>
  <si>
    <t>Arnold</t>
  </si>
  <si>
    <t>Naomi</t>
  </si>
  <si>
    <t>David</t>
  </si>
  <si>
    <t>Ariel</t>
  </si>
  <si>
    <t>TOTAL</t>
  </si>
  <si>
    <t>TOTAL CUSTOMERS PER YEAR</t>
  </si>
  <si>
    <t>NEW CUSTOMERS PER YEAR</t>
  </si>
  <si>
    <t>REVENUE PER CUSTOMER</t>
  </si>
  <si>
    <t>TOTAL REVENUE PER YEAR</t>
  </si>
  <si>
    <t>Q1 2023</t>
  </si>
  <si>
    <t>January</t>
  </si>
  <si>
    <t>February</t>
  </si>
  <si>
    <t>March</t>
  </si>
  <si>
    <t>Q2 2023</t>
  </si>
  <si>
    <t>April</t>
  </si>
  <si>
    <t>May</t>
  </si>
  <si>
    <t>June</t>
  </si>
  <si>
    <t>Q3 2023</t>
  </si>
  <si>
    <t>July</t>
  </si>
  <si>
    <t>August</t>
  </si>
  <si>
    <t>September</t>
  </si>
  <si>
    <t>Q4 2023</t>
  </si>
  <si>
    <t>KPI Overview</t>
  </si>
  <si>
    <t>Revenue Compared per year</t>
  </si>
  <si>
    <t>New Customers per year</t>
  </si>
  <si>
    <t>Revenue Actual VS Target</t>
  </si>
  <si>
    <t>New Customers Actual VS Target</t>
  </si>
  <si>
    <t xml:space="preserve">   Actual Revenue</t>
  </si>
  <si>
    <t>Actual New Customers</t>
  </si>
  <si>
    <t>Target</t>
  </si>
  <si>
    <t>Target New</t>
  </si>
  <si>
    <t xml:space="preserve">Target </t>
  </si>
  <si>
    <t>Average Revenue Per Year</t>
  </si>
  <si>
    <t>Customer Acquisition costs per year</t>
  </si>
  <si>
    <t>Avg. Revenue per Customer</t>
  </si>
  <si>
    <t>Customer Acquisition costs</t>
  </si>
  <si>
    <t>Actual Revenue per Customer</t>
  </si>
  <si>
    <t>Actual CAC</t>
  </si>
  <si>
    <t>Target Revenue 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</si>
</sst>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24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rial Black"/>
      <charset val="1"/>
    </font>
    <font>
      <sz val="11"/>
      <color theme="1"/>
      <name val="Calibri"/>
      <charset val="1"/>
    </font>
    <font>
      <b/>
      <sz val="18"/>
      <color theme="1"/>
      <name val="Bahnschrift"/>
      <charset val="1"/>
    </font>
    <font>
      <sz val="14"/>
      <color theme="1"/>
      <name val="Bahnschrift"/>
      <charset val="1"/>
    </font>
    <font>
      <b/>
      <sz val="14"/>
      <color theme="1"/>
      <name val="Bahnschrift"/>
      <charset val="1"/>
    </font>
    <font>
      <sz val="16"/>
      <color theme="1"/>
      <name val="Bahnschrift"/>
      <charset val="1"/>
    </font>
    <font>
      <b/>
      <sz val="11"/>
      <color theme="1"/>
      <name val="Bahnschrift"/>
      <charset val="1"/>
    </font>
    <font>
      <sz val="11"/>
      <color theme="1"/>
      <name val="Bahnschrift"/>
      <charset val="1"/>
    </font>
    <font>
      <sz val="22"/>
      <color theme="1"/>
      <name val="Bahnschrift"/>
      <charset val="1"/>
    </font>
    <font>
      <b/>
      <sz val="18"/>
      <color theme="1"/>
      <name val="Calibri"/>
      <charset val="1"/>
    </font>
    <font>
      <sz val="18"/>
      <color theme="1"/>
      <name val="Aptos Narrow"/>
      <family val="2"/>
      <scheme val="minor"/>
    </font>
    <font>
      <b/>
      <sz val="14"/>
      <color rgb="FF595959"/>
      <name val="Bahnschrift"/>
      <charset val="1"/>
    </font>
    <font>
      <b/>
      <sz val="14"/>
      <color rgb="FF000000"/>
      <name val="Bahnschrift"/>
      <charset val="1"/>
    </font>
    <font>
      <b/>
      <sz val="14"/>
      <color theme="1"/>
      <name val="Arial"/>
      <charset val="1"/>
    </font>
    <font>
      <sz val="18"/>
      <color theme="8" tint="-0.249977111117893"/>
      <name val="Arial"/>
      <charset val="1"/>
    </font>
    <font>
      <sz val="16"/>
      <color theme="1"/>
      <name val="Aptos Narrow"/>
      <family val="2"/>
      <scheme val="minor"/>
    </font>
    <font>
      <b/>
      <sz val="18"/>
      <color theme="8" tint="-0.249977111117893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0"/>
      <color theme="1"/>
      <name val="Calibri"/>
      <charset val="1"/>
    </font>
    <font>
      <b/>
      <sz val="11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</fills>
  <borders count="4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ck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ck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ck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ck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ck">
        <color rgb="FF000000"/>
      </bottom>
      <diagonal/>
    </border>
    <border>
      <left/>
      <right/>
      <top style="thin">
        <color rgb="FFCCCCCC"/>
      </top>
      <bottom style="thick">
        <color rgb="FF000000"/>
      </bottom>
      <diagonal/>
    </border>
    <border>
      <left/>
      <right style="thin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ck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ck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ck">
        <color rgb="FFCCCCCC"/>
      </bottom>
      <diagonal/>
    </border>
    <border>
      <left style="thin">
        <color rgb="FFCCCCCC"/>
      </left>
      <right style="thick">
        <color rgb="FFCCCCCC"/>
      </right>
      <top style="thin">
        <color rgb="FF000000"/>
      </top>
      <bottom style="thick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ck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ck">
        <color rgb="FFCCCCCC"/>
      </bottom>
      <diagonal/>
    </border>
    <border>
      <left style="thin">
        <color rgb="FFCCCCCC"/>
      </left>
      <right style="thick">
        <color rgb="FFCCCCCC"/>
      </right>
      <top style="thin">
        <color rgb="FFCCCCCC"/>
      </top>
      <bottom style="thick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ck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CCCCCC"/>
      </bottom>
      <diagonal/>
    </border>
    <border>
      <left style="thin">
        <color rgb="FFCCCCCC"/>
      </left>
      <right/>
      <top style="thin">
        <color rgb="FF000000"/>
      </top>
      <bottom style="thick">
        <color rgb="FFCCCCCC"/>
      </bottom>
      <diagonal/>
    </border>
    <border>
      <left/>
      <right/>
      <top style="thin">
        <color rgb="FF000000"/>
      </top>
      <bottom style="thick">
        <color rgb="FFCCCCCC"/>
      </bottom>
      <diagonal/>
    </border>
    <border>
      <left/>
      <right style="thin">
        <color rgb="FF000000"/>
      </right>
      <top style="thin">
        <color rgb="FF000000"/>
      </top>
      <bottom style="thick">
        <color rgb="FFCCCCCC"/>
      </bottom>
      <diagonal/>
    </border>
    <border>
      <left style="thin">
        <color rgb="FF000000"/>
      </left>
      <right style="thick">
        <color rgb="FF000000"/>
      </right>
      <top style="thin">
        <color rgb="FFCCCCCC"/>
      </top>
      <bottom style="thick">
        <color rgb="FFCCCCCC"/>
      </bottom>
      <diagonal/>
    </border>
    <border>
      <left style="thin">
        <color rgb="FFCCCCCC"/>
      </left>
      <right style="thick">
        <color rgb="FF000000"/>
      </right>
      <top style="thin">
        <color rgb="FFCCCCCC"/>
      </top>
      <bottom style="thick">
        <color rgb="FFCCCCCC"/>
      </bottom>
      <diagonal/>
    </border>
    <border>
      <left style="thin">
        <color rgb="FF000000"/>
      </left>
      <right style="thick">
        <color rgb="FFCCCCCC"/>
      </right>
      <top style="thin">
        <color rgb="FFCCCCCC"/>
      </top>
      <bottom style="thick">
        <color rgb="FFCCCCCC"/>
      </bottom>
      <diagonal/>
    </border>
    <border>
      <left style="thin">
        <color rgb="FFCCCCCC"/>
      </left>
      <right/>
      <top style="thin">
        <color rgb="FFCCCCCC"/>
      </top>
      <bottom style="thick">
        <color rgb="FFCCCCCC"/>
      </bottom>
      <diagonal/>
    </border>
    <border>
      <left/>
      <right/>
      <top style="thin">
        <color rgb="FFCCCCCC"/>
      </top>
      <bottom style="thick">
        <color rgb="FFCCCCCC"/>
      </bottom>
      <diagonal/>
    </border>
    <border>
      <left/>
      <right style="thin">
        <color rgb="FF000000"/>
      </right>
      <top style="thin">
        <color rgb="FFCCCCCC"/>
      </top>
      <bottom style="thick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3" fillId="2" borderId="4" xfId="0" applyFont="1" applyFill="1" applyBorder="1" applyAlignment="1">
      <alignment wrapText="1" readingOrder="1"/>
    </xf>
    <xf numFmtId="0" fontId="3" fillId="2" borderId="5" xfId="0" applyFont="1" applyFill="1" applyBorder="1" applyAlignment="1">
      <alignment wrapText="1" readingOrder="1"/>
    </xf>
    <xf numFmtId="0" fontId="3" fillId="2" borderId="6" xfId="0" applyFont="1" applyFill="1" applyBorder="1" applyAlignment="1">
      <alignment wrapText="1" readingOrder="1"/>
    </xf>
    <xf numFmtId="0" fontId="4" fillId="2" borderId="7" xfId="0" applyFont="1" applyFill="1" applyBorder="1" applyAlignment="1">
      <alignment readingOrder="1"/>
    </xf>
    <xf numFmtId="0" fontId="4" fillId="2" borderId="1" xfId="0" applyFont="1" applyFill="1" applyBorder="1" applyAlignment="1">
      <alignment readingOrder="1"/>
    </xf>
    <xf numFmtId="0" fontId="4" fillId="2" borderId="2" xfId="0" applyFont="1" applyFill="1" applyBorder="1" applyAlignment="1">
      <alignment readingOrder="1"/>
    </xf>
    <xf numFmtId="0" fontId="4" fillId="2" borderId="8" xfId="0" applyFont="1" applyFill="1" applyBorder="1" applyAlignment="1">
      <alignment readingOrder="1"/>
    </xf>
    <xf numFmtId="0" fontId="3" fillId="2" borderId="12" xfId="0" applyFont="1" applyFill="1" applyBorder="1" applyAlignment="1">
      <alignment wrapText="1" readingOrder="1"/>
    </xf>
    <xf numFmtId="0" fontId="3" fillId="2" borderId="13" xfId="0" applyFont="1" applyFill="1" applyBorder="1" applyAlignment="1">
      <alignment wrapText="1" readingOrder="1"/>
    </xf>
    <xf numFmtId="0" fontId="3" fillId="2" borderId="14" xfId="0" applyFont="1" applyFill="1" applyBorder="1" applyAlignment="1">
      <alignment wrapText="1" readingOrder="1"/>
    </xf>
    <xf numFmtId="0" fontId="4" fillId="2" borderId="15" xfId="0" applyFont="1" applyFill="1" applyBorder="1" applyAlignment="1">
      <alignment readingOrder="1"/>
    </xf>
    <xf numFmtId="0" fontId="3" fillId="2" borderId="16" xfId="0" applyFont="1" applyFill="1" applyBorder="1" applyAlignment="1">
      <alignment wrapText="1" readingOrder="1"/>
    </xf>
    <xf numFmtId="0" fontId="6" fillId="4" borderId="17" xfId="0" applyFont="1" applyFill="1" applyBorder="1" applyAlignment="1">
      <alignment wrapText="1" readingOrder="1"/>
    </xf>
    <xf numFmtId="0" fontId="6" fillId="4" borderId="18" xfId="0" applyFont="1" applyFill="1" applyBorder="1" applyAlignment="1">
      <alignment wrapText="1" readingOrder="1"/>
    </xf>
    <xf numFmtId="0" fontId="7" fillId="5" borderId="19" xfId="0" applyFont="1" applyFill="1" applyBorder="1" applyAlignment="1">
      <alignment wrapText="1" readingOrder="1"/>
    </xf>
    <xf numFmtId="3" fontId="8" fillId="0" borderId="22" xfId="0" applyNumberFormat="1" applyFont="1" applyBorder="1" applyAlignment="1">
      <alignment wrapText="1" readingOrder="1"/>
    </xf>
    <xf numFmtId="3" fontId="8" fillId="0" borderId="25" xfId="0" applyNumberFormat="1" applyFont="1" applyBorder="1" applyAlignment="1">
      <alignment wrapText="1" readingOrder="1"/>
    </xf>
    <xf numFmtId="8" fontId="8" fillId="0" borderId="25" xfId="0" applyNumberFormat="1" applyFont="1" applyBorder="1" applyAlignment="1">
      <alignment wrapText="1" readingOrder="1"/>
    </xf>
    <xf numFmtId="8" fontId="8" fillId="0" borderId="6" xfId="0" applyNumberFormat="1" applyFont="1" applyBorder="1" applyAlignment="1">
      <alignment wrapText="1" readingOrder="1"/>
    </xf>
    <xf numFmtId="0" fontId="8" fillId="0" borderId="20" xfId="0" applyFont="1" applyBorder="1" applyAlignment="1">
      <alignment wrapText="1" readingOrder="1"/>
    </xf>
    <xf numFmtId="0" fontId="8" fillId="0" borderId="23" xfId="0" applyFont="1" applyBorder="1" applyAlignment="1">
      <alignment wrapText="1" readingOrder="1"/>
    </xf>
    <xf numFmtId="0" fontId="8" fillId="0" borderId="26" xfId="0" applyFont="1" applyBorder="1" applyAlignment="1">
      <alignment wrapText="1" readingOrder="1"/>
    </xf>
    <xf numFmtId="0" fontId="6" fillId="3" borderId="33" xfId="0" applyFont="1" applyFill="1" applyBorder="1" applyAlignment="1">
      <alignment wrapText="1" readingOrder="1"/>
    </xf>
    <xf numFmtId="8" fontId="6" fillId="3" borderId="24" xfId="0" applyNumberFormat="1" applyFont="1" applyFill="1" applyBorder="1" applyAlignment="1">
      <alignment wrapText="1" readingOrder="1"/>
    </xf>
    <xf numFmtId="8" fontId="6" fillId="3" borderId="25" xfId="0" applyNumberFormat="1" applyFont="1" applyFill="1" applyBorder="1" applyAlignment="1">
      <alignment wrapText="1" readingOrder="1"/>
    </xf>
    <xf numFmtId="0" fontId="7" fillId="3" borderId="3" xfId="0" applyFont="1" applyFill="1" applyBorder="1" applyAlignment="1">
      <alignment wrapText="1" readingOrder="1"/>
    </xf>
    <xf numFmtId="8" fontId="7" fillId="3" borderId="4" xfId="0" applyNumberFormat="1" applyFont="1" applyFill="1" applyBorder="1" applyAlignment="1">
      <alignment wrapText="1" readingOrder="1"/>
    </xf>
    <xf numFmtId="8" fontId="7" fillId="3" borderId="6" xfId="0" applyNumberFormat="1" applyFont="1" applyFill="1" applyBorder="1" applyAlignment="1">
      <alignment wrapText="1" readingOrder="1"/>
    </xf>
    <xf numFmtId="0" fontId="4" fillId="6" borderId="27" xfId="0" applyFont="1" applyFill="1" applyBorder="1" applyAlignment="1">
      <alignment readingOrder="1"/>
    </xf>
    <xf numFmtId="0" fontId="4" fillId="6" borderId="31" xfId="0" applyFont="1" applyFill="1" applyBorder="1" applyAlignment="1">
      <alignment readingOrder="1"/>
    </xf>
    <xf numFmtId="0" fontId="9" fillId="6" borderId="24" xfId="0" applyFont="1" applyFill="1" applyBorder="1" applyAlignment="1">
      <alignment wrapText="1" readingOrder="1"/>
    </xf>
    <xf numFmtId="0" fontId="9" fillId="6" borderId="32" xfId="0" applyFont="1" applyFill="1" applyBorder="1" applyAlignment="1">
      <alignment wrapText="1" readingOrder="1"/>
    </xf>
    <xf numFmtId="0" fontId="9" fillId="6" borderId="25" xfId="0" applyFont="1" applyFill="1" applyBorder="1" applyAlignment="1">
      <alignment wrapText="1" readingOrder="1"/>
    </xf>
    <xf numFmtId="0" fontId="10" fillId="6" borderId="24" xfId="0" applyFont="1" applyFill="1" applyBorder="1" applyAlignment="1">
      <alignment wrapText="1" readingOrder="1"/>
    </xf>
    <xf numFmtId="0" fontId="10" fillId="6" borderId="32" xfId="0" applyFont="1" applyFill="1" applyBorder="1" applyAlignment="1">
      <alignment wrapText="1" readingOrder="1"/>
    </xf>
    <xf numFmtId="0" fontId="10" fillId="6" borderId="25" xfId="0" applyFont="1" applyFill="1" applyBorder="1" applyAlignment="1">
      <alignment wrapText="1" readingOrder="1"/>
    </xf>
    <xf numFmtId="0" fontId="4" fillId="6" borderId="21" xfId="0" applyFont="1" applyFill="1" applyBorder="1" applyAlignment="1">
      <alignment readingOrder="1"/>
    </xf>
    <xf numFmtId="0" fontId="4" fillId="6" borderId="22" xfId="0" applyFont="1" applyFill="1" applyBorder="1" applyAlignment="1">
      <alignment readingOrder="1"/>
    </xf>
    <xf numFmtId="44" fontId="0" fillId="4" borderId="0" xfId="0" applyNumberFormat="1" applyFill="1" applyAlignment="1">
      <alignment wrapText="1"/>
    </xf>
    <xf numFmtId="44" fontId="0" fillId="5" borderId="0" xfId="0" applyNumberFormat="1" applyFill="1"/>
    <xf numFmtId="2" fontId="4" fillId="0" borderId="21" xfId="0" applyNumberFormat="1" applyFont="1" applyBorder="1" applyAlignment="1">
      <alignment readingOrder="1"/>
    </xf>
    <xf numFmtId="2" fontId="4" fillId="0" borderId="24" xfId="0" applyNumberFormat="1" applyFont="1" applyBorder="1" applyAlignment="1">
      <alignment readingOrder="1"/>
    </xf>
    <xf numFmtId="164" fontId="4" fillId="0" borderId="24" xfId="0" applyNumberFormat="1" applyFont="1" applyBorder="1" applyAlignment="1">
      <alignment readingOrder="1"/>
    </xf>
    <xf numFmtId="164" fontId="4" fillId="0" borderId="4" xfId="0" applyNumberFormat="1" applyFont="1" applyBorder="1" applyAlignment="1">
      <alignment readingOrder="1"/>
    </xf>
    <xf numFmtId="0" fontId="2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5" fillId="5" borderId="0" xfId="0" applyFont="1" applyFill="1"/>
    <xf numFmtId="0" fontId="16" fillId="5" borderId="37" xfId="0" applyFont="1" applyFill="1" applyBorder="1" applyAlignment="1">
      <alignment wrapText="1" readingOrder="1"/>
    </xf>
    <xf numFmtId="0" fontId="7" fillId="5" borderId="38" xfId="0" applyFont="1" applyFill="1" applyBorder="1" applyAlignment="1">
      <alignment wrapText="1" readingOrder="1"/>
    </xf>
    <xf numFmtId="0" fontId="17" fillId="0" borderId="0" xfId="0" applyFont="1"/>
    <xf numFmtId="0" fontId="0" fillId="8" borderId="0" xfId="0" applyFill="1"/>
    <xf numFmtId="0" fontId="14" fillId="8" borderId="0" xfId="0" applyFont="1" applyFill="1" applyAlignment="1">
      <alignment horizontal="center" vertical="center" wrapText="1"/>
    </xf>
    <xf numFmtId="44" fontId="2" fillId="8" borderId="0" xfId="0" applyNumberFormat="1" applyFont="1" applyFill="1"/>
    <xf numFmtId="0" fontId="21" fillId="8" borderId="0" xfId="0" applyFont="1" applyFill="1" applyAlignment="1">
      <alignment horizontal="center" vertical="center"/>
    </xf>
    <xf numFmtId="0" fontId="1" fillId="8" borderId="0" xfId="0" applyFont="1" applyFill="1"/>
    <xf numFmtId="9" fontId="2" fillId="8" borderId="0" xfId="0" applyNumberFormat="1" applyFont="1" applyFill="1"/>
    <xf numFmtId="0" fontId="0" fillId="10" borderId="0" xfId="0" applyFill="1"/>
    <xf numFmtId="0" fontId="21" fillId="10" borderId="0" xfId="0" applyFont="1" applyFill="1" applyAlignment="1">
      <alignment vertical="center"/>
    </xf>
    <xf numFmtId="0" fontId="20" fillId="10" borderId="0" xfId="0" applyFont="1" applyFill="1"/>
    <xf numFmtId="0" fontId="21" fillId="10" borderId="0" xfId="0" applyFont="1" applyFill="1"/>
    <xf numFmtId="0" fontId="0" fillId="12" borderId="0" xfId="0" applyFill="1"/>
    <xf numFmtId="0" fontId="21" fillId="12" borderId="0" xfId="0" applyFont="1" applyFill="1" applyAlignment="1">
      <alignment horizontal="center" vertical="center"/>
    </xf>
    <xf numFmtId="44" fontId="2" fillId="12" borderId="0" xfId="0" applyNumberFormat="1" applyFont="1" applyFill="1"/>
    <xf numFmtId="0" fontId="21" fillId="12" borderId="0" xfId="0" applyFont="1" applyFill="1" applyAlignment="1">
      <alignment wrapText="1"/>
    </xf>
    <xf numFmtId="0" fontId="2" fillId="12" borderId="0" xfId="0" applyFont="1" applyFill="1"/>
    <xf numFmtId="0" fontId="23" fillId="12" borderId="0" xfId="0" applyFont="1" applyFill="1"/>
    <xf numFmtId="0" fontId="21" fillId="12" borderId="0" xfId="0" applyFont="1" applyFill="1"/>
    <xf numFmtId="9" fontId="2" fillId="12" borderId="0" xfId="0" applyNumberFormat="1" applyFont="1" applyFill="1"/>
    <xf numFmtId="0" fontId="0" fillId="4" borderId="0" xfId="0" applyFill="1"/>
    <xf numFmtId="0" fontId="18" fillId="4" borderId="0" xfId="0" applyFont="1" applyFill="1"/>
    <xf numFmtId="0" fontId="13" fillId="4" borderId="0" xfId="0" applyFont="1" applyFill="1"/>
    <xf numFmtId="9" fontId="0" fillId="4" borderId="0" xfId="0" applyNumberFormat="1" applyFill="1"/>
    <xf numFmtId="0" fontId="5" fillId="6" borderId="34" xfId="0" applyFont="1" applyFill="1" applyBorder="1" applyAlignment="1">
      <alignment wrapText="1" readingOrder="1"/>
    </xf>
    <xf numFmtId="0" fontId="5" fillId="6" borderId="35" xfId="0" applyFont="1" applyFill="1" applyBorder="1" applyAlignment="1">
      <alignment wrapText="1" readingOrder="1"/>
    </xf>
    <xf numFmtId="0" fontId="5" fillId="6" borderId="36" xfId="0" applyFont="1" applyFill="1" applyBorder="1" applyAlignment="1">
      <alignment wrapText="1" readingOrder="1"/>
    </xf>
    <xf numFmtId="0" fontId="1" fillId="0" borderId="0" xfId="0" applyFont="1" applyAlignment="1">
      <alignment horizontal="center"/>
    </xf>
    <xf numFmtId="0" fontId="5" fillId="2" borderId="9" xfId="0" applyFont="1" applyFill="1" applyBorder="1" applyAlignment="1">
      <alignment wrapText="1" readingOrder="1"/>
    </xf>
    <xf numFmtId="0" fontId="5" fillId="2" borderId="10" xfId="0" applyFont="1" applyFill="1" applyBorder="1" applyAlignment="1">
      <alignment wrapText="1" readingOrder="1"/>
    </xf>
    <xf numFmtId="0" fontId="5" fillId="2" borderId="11" xfId="0" applyFont="1" applyFill="1" applyBorder="1" applyAlignment="1">
      <alignment wrapText="1" readingOrder="1"/>
    </xf>
    <xf numFmtId="0" fontId="5" fillId="6" borderId="28" xfId="0" applyFont="1" applyFill="1" applyBorder="1" applyAlignment="1">
      <alignment wrapText="1" readingOrder="1"/>
    </xf>
    <xf numFmtId="0" fontId="5" fillId="6" borderId="29" xfId="0" applyFont="1" applyFill="1" applyBorder="1" applyAlignment="1">
      <alignment wrapText="1" readingOrder="1"/>
    </xf>
    <xf numFmtId="0" fontId="5" fillId="6" borderId="30" xfId="0" applyFont="1" applyFill="1" applyBorder="1" applyAlignment="1">
      <alignment wrapText="1" readingOrder="1"/>
    </xf>
    <xf numFmtId="0" fontId="11" fillId="7" borderId="43" xfId="0" applyFont="1" applyFill="1" applyBorder="1" applyAlignment="1">
      <alignment horizontal="center" vertical="center" wrapText="1" readingOrder="1"/>
    </xf>
    <xf numFmtId="0" fontId="11" fillId="7" borderId="44" xfId="0" applyFont="1" applyFill="1" applyBorder="1" applyAlignment="1">
      <alignment horizontal="center" vertical="center" wrapText="1" readingOrder="1"/>
    </xf>
    <xf numFmtId="0" fontId="11" fillId="7" borderId="45" xfId="0" applyFont="1" applyFill="1" applyBorder="1" applyAlignment="1">
      <alignment horizontal="center" vertical="center" wrapText="1" readingOrder="1"/>
    </xf>
    <xf numFmtId="0" fontId="19" fillId="0" borderId="39" xfId="0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0" fontId="12" fillId="6" borderId="40" xfId="0" applyFont="1" applyFill="1" applyBorder="1" applyAlignment="1">
      <alignment horizontal="center" vertical="center" readingOrder="1"/>
    </xf>
    <xf numFmtId="0" fontId="12" fillId="6" borderId="41" xfId="0" applyFont="1" applyFill="1" applyBorder="1" applyAlignment="1">
      <alignment horizontal="center" vertical="center" readingOrder="1"/>
    </xf>
    <xf numFmtId="0" fontId="12" fillId="6" borderId="42" xfId="0" applyFont="1" applyFill="1" applyBorder="1" applyAlignment="1">
      <alignment horizontal="center" vertical="center" readingOrder="1"/>
    </xf>
    <xf numFmtId="0" fontId="12" fillId="11" borderId="39" xfId="0" applyFont="1" applyFill="1" applyBorder="1" applyAlignment="1">
      <alignment horizontal="center" readingOrder="1"/>
    </xf>
    <xf numFmtId="0" fontId="12" fillId="11" borderId="0" xfId="0" applyFont="1" applyFill="1" applyBorder="1" applyAlignment="1">
      <alignment horizontal="center" readingOrder="1"/>
    </xf>
    <xf numFmtId="0" fontId="12" fillId="5" borderId="39" xfId="0" applyFont="1" applyFill="1" applyBorder="1" applyAlignment="1">
      <alignment horizontal="center" readingOrder="1"/>
    </xf>
    <xf numFmtId="0" fontId="12" fillId="5" borderId="0" xfId="0" applyFont="1" applyFill="1" applyBorder="1" applyAlignment="1">
      <alignment horizontal="center" readingOrder="1"/>
    </xf>
    <xf numFmtId="0" fontId="22" fillId="9" borderId="39" xfId="0" applyFont="1" applyFill="1" applyBorder="1" applyAlignment="1">
      <alignment horizontal="center" readingOrder="1"/>
    </xf>
    <xf numFmtId="0" fontId="22" fillId="9" borderId="0" xfId="0" applyFont="1" applyFill="1" applyBorder="1" applyAlignment="1">
      <alignment horizontal="center" readingOrder="1"/>
    </xf>
    <xf numFmtId="0" fontId="1" fillId="10" borderId="0" xfId="0" applyFont="1" applyFill="1" applyAlignment="1">
      <alignment horizontal="center"/>
    </xf>
    <xf numFmtId="44" fontId="20" fillId="10" borderId="0" xfId="0" applyNumberFormat="1" applyFont="1" applyFill="1" applyAlignment="1">
      <alignment horizontal="center"/>
    </xf>
    <xf numFmtId="0" fontId="20" fillId="10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44" fontId="13" fillId="4" borderId="0" xfId="0" applyNumberFormat="1" applyFont="1" applyFill="1" applyAlignment="1">
      <alignment horizontal="center"/>
    </xf>
    <xf numFmtId="0" fontId="13" fillId="4" borderId="0" xfId="0" applyFont="1" applyFill="1" applyAlignment="1">
      <alignment horizontal="center"/>
    </xf>
    <xf numFmtId="9" fontId="13" fillId="4" borderId="0" xfId="0" applyNumberFormat="1" applyFont="1" applyFill="1" applyAlignment="1">
      <alignment horizontal="right"/>
    </xf>
    <xf numFmtId="9" fontId="20" fillId="10" borderId="0" xfId="0" applyNumberFormat="1" applyFont="1" applyFill="1" applyAlignment="1">
      <alignment horizontal="right"/>
    </xf>
    <xf numFmtId="164" fontId="13" fillId="4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Revrnue Compared to Previous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{"Current Year"}</c:f>
              <c:strCache>
                <c:ptCount val="1"/>
                <c:pt idx="0">
                  <c:v>Current Year</c:v>
                </c:pt>
              </c:strCache>
            </c:strRef>
          </c:tx>
          <c:spPr>
            <a:solidFill>
              <a:srgbClr val="3C7D22"/>
            </a:solidFill>
            <a:ln>
              <a:noFill/>
            </a:ln>
            <a:effectLst/>
          </c:spPr>
          <c:invertIfNegative val="0"/>
          <c:val>
            <c:numRef>
              <c:f>DATA!$C$16:$E$16</c:f>
              <c:numCache>
                <c:formatCode>_("$"* #,##0.00_);_("$"* \(#,##0.00\);_("$"* "-"??_);_(@_)</c:formatCode>
                <c:ptCount val="3"/>
                <c:pt idx="0">
                  <c:v>771500</c:v>
                </c:pt>
                <c:pt idx="1">
                  <c:v>790000</c:v>
                </c:pt>
                <c:pt idx="2">
                  <c:v>785000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029C-4632-B643-7C8BE4D38A94}"/>
            </c:ext>
          </c:extLst>
        </c:ser>
        <c:ser>
          <c:idx val="1"/>
          <c:order val="1"/>
          <c:tx>
            <c:strRef>
              <c:f>{"Previous Year"}</c:f>
              <c:strCache>
                <c:ptCount val="1"/>
                <c:pt idx="0">
                  <c:v>Previous Year</c:v>
                </c:pt>
              </c:strCache>
            </c:strRef>
          </c:tx>
          <c:spPr>
            <a:solidFill>
              <a:srgbClr val="8ED973"/>
            </a:solidFill>
            <a:ln>
              <a:noFill/>
            </a:ln>
            <a:effectLst/>
          </c:spPr>
          <c:invertIfNegative val="0"/>
          <c:val>
            <c:numRef>
              <c:f>DATA!F16:H16</c:f>
              <c:numCache>
                <c:formatCode>_("$"* #,##0.00_);_("$"* \(#,##0.00\);_("$"* "-"??_);_(@_)</c:formatCode>
                <c:ptCount val="3"/>
                <c:pt idx="0">
                  <c:v>750000</c:v>
                </c:pt>
                <c:pt idx="1">
                  <c:v>700000</c:v>
                </c:pt>
                <c:pt idx="2">
                  <c:v>750000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029C-4632-B643-7C8BE4D38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74"/>
        <c:overlap val="-27"/>
        <c:axId val="503868423"/>
        <c:axId val="503880711"/>
      </c:barChart>
      <c:catAx>
        <c:axId val="503868423"/>
        <c:scaling>
          <c:orientation val="minMax"/>
        </c:scaling>
        <c:delete val="0"/>
        <c:axPos val="b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70BF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880711"/>
        <c:crosses val="autoZero"/>
        <c:auto val="1"/>
        <c:lblAlgn val="ctr"/>
        <c:lblOffset val="100"/>
        <c:noMultiLvlLbl val="0"/>
      </c:catAx>
      <c:valAx>
        <c:axId val="503880711"/>
        <c:scaling>
          <c:orientation val="minMax"/>
          <c:max val="1000000"/>
          <c:min val="250000"/>
        </c:scaling>
        <c:delete val="0"/>
        <c:axPos val="l"/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868423"/>
        <c:crosses val="autoZero"/>
        <c:crossBetween val="between"/>
        <c:majorUnit val="250000"/>
        <c:minorUnit val="25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 Customers Compared to Previous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{"current year"}</c:f>
              <c:strCache>
                <c:ptCount val="1"/>
                <c:pt idx="0">
                  <c:v>current year</c:v>
                </c:pt>
              </c:strCache>
            </c:strRef>
          </c:tx>
          <c:spPr>
            <a:solidFill>
              <a:srgbClr val="BD5015"/>
            </a:solidFill>
            <a:ln>
              <a:noFill/>
            </a:ln>
            <a:effectLst/>
          </c:spPr>
          <c:invertIfNegative val="0"/>
          <c:val>
            <c:numRef>
              <c:f>DATA!$R$16:$T$16</c:f>
              <c:numCache>
                <c:formatCode>_("$"* #,##0.00_);_("$"* \(#,##0.00\);_("$"* "-"??_);_(@_)</c:formatCode>
                <c:ptCount val="3"/>
                <c:pt idx="0">
                  <c:v>118</c:v>
                </c:pt>
                <c:pt idx="1">
                  <c:v>88</c:v>
                </c:pt>
                <c:pt idx="2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A7-4E32-ADCD-87FB96BE68E0}"/>
            </c:ext>
          </c:extLst>
        </c:ser>
        <c:ser>
          <c:idx val="1"/>
          <c:order val="1"/>
          <c:tx>
            <c:strRef>
              <c:f>{"previous year"}</c:f>
              <c:strCache>
                <c:ptCount val="1"/>
                <c:pt idx="0">
                  <c:v>previous year</c:v>
                </c:pt>
              </c:strCache>
            </c:strRef>
          </c:tx>
          <c:spPr>
            <a:solidFill>
              <a:srgbClr val="E87331"/>
            </a:solidFill>
            <a:ln>
              <a:noFill/>
            </a:ln>
            <a:effectLst/>
          </c:spPr>
          <c:invertIfNegative val="0"/>
          <c:val>
            <c:numRef>
              <c:f>DATA!O16:Q16</c:f>
              <c:numCache>
                <c:formatCode>_("$"* #,##0.00_);_("$"* \(#,##0.00\);_("$"* "-"??_);_(@_)</c:formatCode>
                <c:ptCount val="3"/>
                <c:pt idx="0">
                  <c:v>125</c:v>
                </c:pt>
                <c:pt idx="1">
                  <c:v>100</c:v>
                </c:pt>
                <c:pt idx="2">
                  <c:v>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6A7-4E32-ADCD-87FB96BE68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6140936"/>
        <c:axId val="1726882312"/>
      </c:barChart>
      <c:catAx>
        <c:axId val="17261409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882312"/>
        <c:crosses val="autoZero"/>
        <c:auto val="1"/>
        <c:lblAlgn val="ctr"/>
        <c:lblOffset val="100"/>
        <c:noMultiLvlLbl val="0"/>
      </c:catAx>
      <c:valAx>
        <c:axId val="1726882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140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Revenue per cust Compared to previous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{"currentt year"}</c:f>
              <c:strCache>
                <c:ptCount val="1"/>
                <c:pt idx="0">
                  <c:v>currentt year</c:v>
                </c:pt>
              </c:strCache>
            </c:strRef>
          </c:tx>
          <c:spPr>
            <a:solidFill>
              <a:srgbClr val="0F4762"/>
            </a:solidFill>
            <a:ln>
              <a:noFill/>
            </a:ln>
            <a:effectLst/>
          </c:spPr>
          <c:invertIfNegative val="0"/>
          <c:val>
            <c:numRef>
              <c:f>DATA!$AJ$16:$AL$16</c:f>
              <c:numCache>
                <c:formatCode>_("$"* #,##0.00_);_("$"* \(#,##0.00\);_("$"* "-"??_);_(@_)</c:formatCode>
                <c:ptCount val="3"/>
                <c:pt idx="0">
                  <c:v>2245.6239999999998</c:v>
                </c:pt>
                <c:pt idx="1">
                  <c:v>2523.9380000000001</c:v>
                </c:pt>
                <c:pt idx="2">
                  <c:v>2524.4300000000003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FC6-4473-A76F-C05C379DA238}"/>
            </c:ext>
          </c:extLst>
        </c:ser>
        <c:ser>
          <c:idx val="1"/>
          <c:order val="1"/>
          <c:tx>
            <c:strRef>
              <c:f>{"previous year"}</c:f>
              <c:strCache>
                <c:ptCount val="1"/>
                <c:pt idx="0">
                  <c:v>previous year</c:v>
                </c:pt>
              </c:strCache>
            </c:strRef>
          </c:tx>
          <c:spPr>
            <a:solidFill>
              <a:srgbClr val="4D93D9"/>
            </a:solidFill>
            <a:ln>
              <a:noFill/>
            </a:ln>
            <a:effectLst/>
          </c:spPr>
          <c:invertIfNegative val="0"/>
          <c:val>
            <c:numRef>
              <c:f>DATA!AM16:AO16</c:f>
              <c:numCache>
                <c:formatCode>_("$"* #,##0.00_);_("$"* \(#,##0.00\);_("$"* "-"??_);_(@_)</c:formatCode>
                <c:ptCount val="3"/>
                <c:pt idx="0">
                  <c:v>2220</c:v>
                </c:pt>
                <c:pt idx="1">
                  <c:v>2440</c:v>
                </c:pt>
                <c:pt idx="2">
                  <c:v>2420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FC6-4473-A76F-C05C379DA2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6"/>
        <c:overlap val="-27"/>
        <c:axId val="854298119"/>
        <c:axId val="854304263"/>
      </c:barChart>
      <c:catAx>
        <c:axId val="8542981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304263"/>
        <c:crosses val="autoZero"/>
        <c:auto val="1"/>
        <c:lblAlgn val="ctr"/>
        <c:lblOffset val="100"/>
        <c:noMultiLvlLbl val="0"/>
      </c:catAx>
      <c:valAx>
        <c:axId val="854304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298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Acquisition costs comp. to prev.year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{"current year"}</c:f>
              <c:strCache>
                <c:ptCount val="1"/>
                <c:pt idx="0">
                  <c:v>current year</c:v>
                </c:pt>
              </c:strCache>
            </c:strRef>
          </c:tx>
          <c:spPr>
            <a:solidFill>
              <a:srgbClr val="51154A"/>
            </a:solidFill>
            <a:ln>
              <a:noFill/>
            </a:ln>
            <a:effectLst/>
          </c:spPr>
          <c:invertIfNegative val="0"/>
          <c:val>
            <c:numRef>
              <c:f>DATA!$AA$16:$AC$16</c:f>
              <c:numCache>
                <c:formatCode>_("$"* #,##0.00_);_("$"* \(#,##0.00\);_("$"* "-"??_);_(@_)</c:formatCode>
                <c:ptCount val="3"/>
                <c:pt idx="0">
                  <c:v>375.89400000000006</c:v>
                </c:pt>
                <c:pt idx="1">
                  <c:v>509.43799999999999</c:v>
                </c:pt>
                <c:pt idx="2">
                  <c:v>430.07399999999996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815-400E-ADA5-786F7BDF9DAE}"/>
            </c:ext>
          </c:extLst>
        </c:ser>
        <c:ser>
          <c:idx val="1"/>
          <c:order val="1"/>
          <c:tx>
            <c:strRef>
              <c:f>{"previous year"}</c:f>
              <c:strCache>
                <c:ptCount val="1"/>
                <c:pt idx="0">
                  <c:v>previous year</c:v>
                </c:pt>
              </c:strCache>
            </c:strRef>
          </c:tx>
          <c:spPr>
            <a:solidFill>
              <a:srgbClr val="A02B93"/>
            </a:solidFill>
            <a:ln>
              <a:noFill/>
            </a:ln>
            <a:effectLst/>
          </c:spPr>
          <c:invertIfNegative val="0"/>
          <c:val>
            <c:numRef>
              <c:f>DATA!AG16:AI16</c:f>
              <c:numCache>
                <c:formatCode>_("$"* #,##0.00_);_("$"* \(#,##0.00\);_("$"* "-"??_);_(@_)</c:formatCode>
                <c:ptCount val="3"/>
                <c:pt idx="0">
                  <c:v>377.4</c:v>
                </c:pt>
                <c:pt idx="1">
                  <c:v>354</c:v>
                </c:pt>
                <c:pt idx="2">
                  <c:v>383.2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815-400E-ADA5-786F7BDF9D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1751687"/>
        <c:axId val="1271764999"/>
      </c:barChart>
      <c:catAx>
        <c:axId val="12717516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764999"/>
        <c:crosses val="autoZero"/>
        <c:auto val="1"/>
        <c:lblAlgn val="ctr"/>
        <c:lblOffset val="100"/>
        <c:noMultiLvlLbl val="0"/>
      </c:catAx>
      <c:valAx>
        <c:axId val="1271764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751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4</xdr:row>
      <xdr:rowOff>219075</xdr:rowOff>
    </xdr:from>
    <xdr:to>
      <xdr:col>8</xdr:col>
      <xdr:colOff>409575</xdr:colOff>
      <xdr:row>13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FFCE7A-4D8B-BC25-BB24-D1F21CC5D7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352425</xdr:colOff>
      <xdr:row>4</xdr:row>
      <xdr:rowOff>228600</xdr:rowOff>
    </xdr:from>
    <xdr:to>
      <xdr:col>25</xdr:col>
      <xdr:colOff>47625</xdr:colOff>
      <xdr:row>11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A060E64-C637-87D8-E8AA-AD370AA33162}"/>
            </a:ext>
            <a:ext uri="{147F2762-F138-4A5C-976F-8EAC2B608ADB}">
              <a16:predDERef xmlns:a16="http://schemas.microsoft.com/office/drawing/2014/main" pred="{B1FFCE7A-4D8B-BC25-BB24-D1F21CC5D7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104775</xdr:colOff>
      <xdr:row>24</xdr:row>
      <xdr:rowOff>76200</xdr:rowOff>
    </xdr:from>
    <xdr:to>
      <xdr:col>8</xdr:col>
      <xdr:colOff>581025</xdr:colOff>
      <xdr:row>33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1DEB5A-FA43-AD5A-AE83-C319466E51A0}"/>
            </a:ext>
            <a:ext uri="{147F2762-F138-4A5C-976F-8EAC2B608ADB}">
              <a16:predDERef xmlns:a16="http://schemas.microsoft.com/office/drawing/2014/main" pred="{BA060E64-C637-87D8-E8AA-AD370AA331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438150</xdr:colOff>
      <xdr:row>23</xdr:row>
      <xdr:rowOff>152400</xdr:rowOff>
    </xdr:from>
    <xdr:to>
      <xdr:col>24</xdr:col>
      <xdr:colOff>504825</xdr:colOff>
      <xdr:row>32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FD07B8C-88D5-A9CE-4F2C-C5026458D0AF}"/>
            </a:ext>
            <a:ext uri="{147F2762-F138-4A5C-976F-8EAC2B608ADB}">
              <a16:predDERef xmlns:a16="http://schemas.microsoft.com/office/drawing/2014/main" pred="{161DEB5A-FA43-AD5A-AE83-C319466E51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69"/>
  <sheetViews>
    <sheetView topLeftCell="AB6" workbookViewId="0">
      <selection activeCell="AP16" sqref="AP16"/>
    </sheetView>
  </sheetViews>
  <sheetFormatPr defaultRowHeight="15"/>
  <cols>
    <col min="1" max="1" width="26.28515625" bestFit="1" customWidth="1"/>
    <col min="2" max="2" width="30.5703125" customWidth="1"/>
    <col min="3" max="3" width="17.140625" customWidth="1"/>
    <col min="4" max="5" width="18.5703125" customWidth="1"/>
    <col min="6" max="6" width="18.7109375" customWidth="1"/>
    <col min="7" max="7" width="18.28515625" customWidth="1"/>
    <col min="8" max="8" width="18" customWidth="1"/>
    <col min="9" max="9" width="18.85546875" customWidth="1"/>
    <col min="10" max="10" width="18.42578125" customWidth="1"/>
    <col min="11" max="11" width="18.7109375" customWidth="1"/>
    <col min="12" max="12" width="18.140625" customWidth="1"/>
    <col min="13" max="13" width="17.28515625" customWidth="1"/>
    <col min="14" max="14" width="17.42578125" customWidth="1"/>
    <col min="15" max="15" width="20.28515625" customWidth="1"/>
    <col min="16" max="16" width="18.42578125" customWidth="1"/>
    <col min="17" max="17" width="17.28515625" customWidth="1"/>
    <col min="18" max="18" width="17.5703125" customWidth="1"/>
    <col min="19" max="19" width="16.85546875" customWidth="1"/>
    <col min="20" max="20" width="17.5703125" customWidth="1"/>
    <col min="21" max="21" width="17.42578125" customWidth="1"/>
    <col min="22" max="23" width="17.28515625" customWidth="1"/>
    <col min="24" max="24" width="18" customWidth="1"/>
    <col min="25" max="25" width="17.5703125" customWidth="1"/>
    <col min="26" max="26" width="18" customWidth="1"/>
    <col min="27" max="27" width="20" customWidth="1"/>
    <col min="28" max="28" width="16.42578125" customWidth="1"/>
    <col min="29" max="29" width="16.140625" customWidth="1"/>
    <col min="30" max="35" width="16.5703125" customWidth="1"/>
    <col min="36" max="42" width="17.140625" customWidth="1"/>
    <col min="43" max="44" width="17.28515625" customWidth="1"/>
    <col min="45" max="47" width="12.85546875" customWidth="1"/>
  </cols>
  <sheetData>
    <row r="1" spans="1:44" ht="18">
      <c r="H1" s="47" t="s">
        <v>0</v>
      </c>
    </row>
    <row r="2" spans="1:44" ht="17.25">
      <c r="H2" s="48" t="s">
        <v>1</v>
      </c>
    </row>
    <row r="3" spans="1:44" ht="18">
      <c r="H3" s="49" t="s">
        <v>2</v>
      </c>
    </row>
    <row r="4" spans="1:44" ht="26.25" customHeight="1">
      <c r="A4" s="76"/>
      <c r="B4" s="76"/>
      <c r="C4" s="76"/>
      <c r="D4" s="76"/>
      <c r="E4" s="76"/>
      <c r="F4" s="76"/>
      <c r="G4" s="76"/>
      <c r="H4" s="15" t="s">
        <v>3</v>
      </c>
      <c r="I4" s="45"/>
      <c r="J4" s="45"/>
    </row>
    <row r="5" spans="1:44" ht="23.25">
      <c r="E5" s="50" t="s">
        <v>0</v>
      </c>
    </row>
    <row r="7" spans="1:44"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6"/>
    </row>
    <row r="8" spans="1:44" ht="42.75" customHeight="1">
      <c r="B8" s="7"/>
      <c r="C8" s="77" t="s">
        <v>4</v>
      </c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9"/>
    </row>
    <row r="9" spans="1:44" ht="42.75">
      <c r="B9" s="7"/>
      <c r="C9" s="8" t="s">
        <v>5</v>
      </c>
      <c r="D9" s="8" t="s">
        <v>6</v>
      </c>
      <c r="E9" s="9" t="s">
        <v>7</v>
      </c>
      <c r="F9" s="8" t="s">
        <v>5</v>
      </c>
      <c r="G9" s="8" t="s">
        <v>6</v>
      </c>
      <c r="H9" s="9" t="s">
        <v>7</v>
      </c>
      <c r="I9" s="8" t="s">
        <v>5</v>
      </c>
      <c r="J9" s="8" t="s">
        <v>6</v>
      </c>
      <c r="K9" s="9" t="s">
        <v>7</v>
      </c>
      <c r="L9" s="8" t="s">
        <v>5</v>
      </c>
      <c r="M9" s="8" t="s">
        <v>6</v>
      </c>
      <c r="N9" s="9" t="s">
        <v>7</v>
      </c>
      <c r="O9" s="8" t="s">
        <v>5</v>
      </c>
      <c r="P9" s="8" t="s">
        <v>6</v>
      </c>
      <c r="Q9" s="9" t="s">
        <v>7</v>
      </c>
      <c r="R9" s="8" t="s">
        <v>5</v>
      </c>
      <c r="S9" s="8" t="s">
        <v>6</v>
      </c>
      <c r="T9" s="9" t="s">
        <v>7</v>
      </c>
      <c r="U9" s="8" t="s">
        <v>5</v>
      </c>
      <c r="V9" s="8" t="s">
        <v>6</v>
      </c>
      <c r="W9" s="9" t="s">
        <v>7</v>
      </c>
      <c r="X9" s="8" t="s">
        <v>5</v>
      </c>
      <c r="Y9" s="8" t="s">
        <v>6</v>
      </c>
      <c r="Z9" s="9" t="s">
        <v>7</v>
      </c>
      <c r="AA9" s="8" t="s">
        <v>5</v>
      </c>
      <c r="AB9" s="8" t="s">
        <v>6</v>
      </c>
      <c r="AC9" s="9" t="s">
        <v>7</v>
      </c>
      <c r="AD9" s="8" t="s">
        <v>5</v>
      </c>
      <c r="AE9" s="8" t="s">
        <v>6</v>
      </c>
      <c r="AF9" s="9" t="s">
        <v>7</v>
      </c>
      <c r="AG9" s="8" t="s">
        <v>5</v>
      </c>
      <c r="AH9" s="8" t="s">
        <v>6</v>
      </c>
      <c r="AI9" s="9" t="s">
        <v>7</v>
      </c>
      <c r="AJ9" s="8" t="s">
        <v>5</v>
      </c>
      <c r="AK9" s="8" t="s">
        <v>6</v>
      </c>
      <c r="AL9" s="9" t="s">
        <v>7</v>
      </c>
      <c r="AM9" s="8" t="s">
        <v>5</v>
      </c>
      <c r="AN9" s="8" t="s">
        <v>6</v>
      </c>
      <c r="AO9" s="9" t="s">
        <v>7</v>
      </c>
      <c r="AP9" s="8" t="s">
        <v>5</v>
      </c>
      <c r="AQ9" s="8" t="s">
        <v>6</v>
      </c>
      <c r="AR9" s="10" t="s">
        <v>7</v>
      </c>
    </row>
    <row r="10" spans="1:44" ht="87" customHeight="1">
      <c r="B10" s="11"/>
      <c r="C10" s="12" t="s">
        <v>8</v>
      </c>
      <c r="D10" s="12" t="s">
        <v>8</v>
      </c>
      <c r="E10" s="2" t="s">
        <v>8</v>
      </c>
      <c r="F10" s="1" t="s">
        <v>9</v>
      </c>
      <c r="G10" s="1" t="s">
        <v>9</v>
      </c>
      <c r="H10" s="2" t="s">
        <v>9</v>
      </c>
      <c r="I10" s="12" t="s">
        <v>10</v>
      </c>
      <c r="J10" s="12" t="s">
        <v>10</v>
      </c>
      <c r="K10" s="2" t="s">
        <v>10</v>
      </c>
      <c r="L10" s="1" t="s">
        <v>11</v>
      </c>
      <c r="M10" s="1" t="s">
        <v>11</v>
      </c>
      <c r="N10" s="2" t="s">
        <v>11</v>
      </c>
      <c r="O10" s="1" t="s">
        <v>12</v>
      </c>
      <c r="P10" s="1" t="s">
        <v>12</v>
      </c>
      <c r="Q10" s="2" t="s">
        <v>12</v>
      </c>
      <c r="R10" s="1" t="s">
        <v>13</v>
      </c>
      <c r="S10" s="1" t="s">
        <v>13</v>
      </c>
      <c r="T10" s="2" t="s">
        <v>13</v>
      </c>
      <c r="U10" s="1" t="s">
        <v>14</v>
      </c>
      <c r="V10" s="1" t="s">
        <v>14</v>
      </c>
      <c r="W10" s="2" t="s">
        <v>14</v>
      </c>
      <c r="X10" s="1" t="s">
        <v>15</v>
      </c>
      <c r="Y10" s="1" t="s">
        <v>15</v>
      </c>
      <c r="Z10" s="2" t="s">
        <v>15</v>
      </c>
      <c r="AA10" s="1" t="s">
        <v>16</v>
      </c>
      <c r="AB10" s="1" t="s">
        <v>16</v>
      </c>
      <c r="AC10" s="2" t="s">
        <v>16</v>
      </c>
      <c r="AD10" s="1" t="s">
        <v>17</v>
      </c>
      <c r="AE10" s="1" t="s">
        <v>17</v>
      </c>
      <c r="AF10" s="2" t="s">
        <v>17</v>
      </c>
      <c r="AG10" s="1" t="s">
        <v>18</v>
      </c>
      <c r="AH10" s="1" t="s">
        <v>18</v>
      </c>
      <c r="AI10" s="2" t="s">
        <v>18</v>
      </c>
      <c r="AJ10" s="1" t="s">
        <v>19</v>
      </c>
      <c r="AK10" s="1" t="s">
        <v>19</v>
      </c>
      <c r="AL10" s="2" t="s">
        <v>19</v>
      </c>
      <c r="AM10" s="1" t="s">
        <v>20</v>
      </c>
      <c r="AN10" s="1" t="s">
        <v>20</v>
      </c>
      <c r="AO10" s="2" t="s">
        <v>20</v>
      </c>
      <c r="AP10" s="1" t="s">
        <v>21</v>
      </c>
      <c r="AQ10" s="1" t="s">
        <v>21</v>
      </c>
      <c r="AR10" s="3" t="s">
        <v>21</v>
      </c>
    </row>
    <row r="11" spans="1:44" ht="18">
      <c r="B11" s="13" t="s">
        <v>22</v>
      </c>
      <c r="C11" s="39" cm="1">
        <f t="array" ref="C11">_xlfn.SWITCH($E$5,$H$1,C28,$H$2,C40,$H$3,C52,$H$4,C64)</f>
        <v>135000</v>
      </c>
      <c r="D11" s="39" cm="1">
        <f t="array" ref="D11">_xlfn.SWITCH($E$5,$H$1,D28,$H$2,D40,$H$3,D52,$H$4,D64)</f>
        <v>130000</v>
      </c>
      <c r="E11" s="39" cm="1">
        <f t="array" ref="E11">_xlfn.SWITCH($E$5,$H$1,E28,$H$2,E40,$H$3,E52,$H$4,E64)</f>
        <v>160000</v>
      </c>
      <c r="F11" s="39" cm="1">
        <f t="array" ref="F11">_xlfn.SWITCH($E$5,$H$1,F28,$H$2,F40,$H$3,F52,$H$4,F64)</f>
        <v>150000</v>
      </c>
      <c r="G11" s="39" cm="1">
        <f t="array" ref="G11">_xlfn.SWITCH($E$5,$H$1,G28,$H$2,G40,$H$3,G52,$H$4,G64)</f>
        <v>140000</v>
      </c>
      <c r="H11" s="39" cm="1">
        <f t="array" ref="H11">_xlfn.SWITCH($E$5,$H$1,H28,$H$2,H40,$H$3,H52,$H$4,H64)</f>
        <v>150000</v>
      </c>
      <c r="I11" s="39" cm="1">
        <f t="array" ref="I11">_xlfn.SWITCH($E$5,$H$1,I28,$H$2,I40,$H$3,I52,$H$4,I64)</f>
        <v>115000</v>
      </c>
      <c r="J11" s="39" cm="1">
        <f t="array" ref="J11">_xlfn.SWITCH($E$5,$H$1,J28,$H$2,J40,$H$3,J52,$H$4,J64)</f>
        <v>140000</v>
      </c>
      <c r="K11" s="39" cm="1">
        <f t="array" ref="K11">_xlfn.SWITCH($E$5,$H$1,K28,$H$2,K40,$H$3,K52,$H$4,K64)</f>
        <v>160000</v>
      </c>
      <c r="L11" s="39" cm="1">
        <f t="array" ref="L11">_xlfn.SWITCH($E$5,$H$1,L28,$H$2,L40,$H$3,L52,$H$4,L64)</f>
        <v>57</v>
      </c>
      <c r="M11" s="39" cm="1">
        <f t="array" ref="M11">_xlfn.SWITCH($E$5,$H$1,M28,$H$2,M40,$H$3,M52,$H$4,M64)</f>
        <v>58</v>
      </c>
      <c r="N11" s="39" cm="1">
        <f t="array" ref="N11">_xlfn.SWITCH($E$5,$H$1,N28,$H$2,N40,$H$3,N52,$H$4,N64)</f>
        <v>63</v>
      </c>
      <c r="O11" s="39" cm="1">
        <f t="array" ref="O11">_xlfn.SWITCH($E$5,$H$1,O28,$H$2,O40,$H$3,O52,$H$4,O64)</f>
        <v>25</v>
      </c>
      <c r="P11" s="39" cm="1">
        <f t="array" ref="P11">_xlfn.SWITCH($E$5,$H$1,P28,$H$2,P40,$H$3,P52,$H$4,P64)</f>
        <v>20</v>
      </c>
      <c r="Q11" s="39" cm="1">
        <f t="array" ref="Q11">_xlfn.SWITCH($E$5,$H$1,Q28,$H$2,Q40,$H$3,Q52,$H$4,Q64)</f>
        <v>25</v>
      </c>
      <c r="R11" s="39" cm="1">
        <f t="array" ref="R11">_xlfn.SWITCH($E$5,$H$1,R28,$H$2,R40,$H$3,R52,$H$4,R64)</f>
        <v>10</v>
      </c>
      <c r="S11" s="39" cm="1">
        <f t="array" ref="S11">_xlfn.SWITCH($E$5,$H$1,S28,$H$2,S40,$H$3,S52,$H$4,S64)</f>
        <v>11</v>
      </c>
      <c r="T11" s="39" cm="1">
        <f t="array" ref="T11">_xlfn.SWITCH($E$5,$H$1,T28,$H$2,T40,$H$3,T52,$H$4,T64)</f>
        <v>18</v>
      </c>
      <c r="U11" s="39" cm="1">
        <f t="array" ref="U11">_xlfn.SWITCH($E$5,$H$1,U28,$H$2,U40,$H$3,U52,$H$4,U64)</f>
        <v>9</v>
      </c>
      <c r="V11" s="39" cm="1">
        <f t="array" ref="V11">_xlfn.SWITCH($E$5,$H$1,V28,$H$2,V40,$H$3,V52,$H$4,V64)</f>
        <v>12</v>
      </c>
      <c r="W11" s="39" cm="1">
        <f t="array" ref="W11">_xlfn.SWITCH($E$5,$H$1,W28,$H$2,W40,$H$3,W52,$H$4,W64)</f>
        <v>14</v>
      </c>
      <c r="X11" s="39" cm="1">
        <f t="array" ref="X11">_xlfn.SWITCH($E$5,$H$1,X28,$H$2,X40,$H$3,X52,$H$4,X64)</f>
        <v>4200</v>
      </c>
      <c r="Y11" s="39" cm="1">
        <f t="array" ref="Y11">_xlfn.SWITCH($E$5,$H$1,Y28,$H$2,Y40,$H$3,Y52,$H$4,Y64)</f>
        <v>5000</v>
      </c>
      <c r="Z11" s="39" cm="1">
        <f t="array" ref="Z11">_xlfn.SWITCH($E$5,$H$1,Z28,$H$2,Z40,$H$3,Z52,$H$4,Z64)</f>
        <v>5500</v>
      </c>
      <c r="AA11" s="39" cm="1">
        <f t="array" ref="AA11">_xlfn.SWITCH($E$5,$H$1,AA28,$H$2,AA40,$H$3,AA52,$H$4,AA64)</f>
        <v>420</v>
      </c>
      <c r="AB11" s="39" cm="1">
        <f t="array" ref="AB11">_xlfn.SWITCH($E$5,$H$1,AB28,$H$2,AB40,$H$3,AB52,$H$4,AB64)</f>
        <v>454.55</v>
      </c>
      <c r="AC11" s="39" cm="1">
        <f t="array" ref="AC11">_xlfn.SWITCH($E$5,$H$1,AC28,$H$2,AC40,$H$3,AC52,$H$4,AC64)</f>
        <v>305.56</v>
      </c>
      <c r="AD11" s="39" cm="1">
        <f t="array" ref="AD11">_xlfn.SWITCH($E$5,$H$1,AD28,$H$2,AD40,$H$3,AD52,$H$4,AD64)</f>
        <v>350</v>
      </c>
      <c r="AE11" s="39" cm="1">
        <f t="array" ref="AE11">_xlfn.SWITCH($E$5,$H$1,AE28,$H$2,AE40,$H$3,AE52,$H$4,AE64)</f>
        <v>350</v>
      </c>
      <c r="AF11" s="39" cm="1">
        <f t="array" ref="AF11">_xlfn.SWITCH($E$5,$H$1,AF28,$H$2,AF40,$H$3,AF52,$H$4,AF64)</f>
        <v>350</v>
      </c>
      <c r="AG11" s="39" cm="1">
        <f t="array" ref="AG11">_xlfn.SWITCH($E$5,$H$1,AG28,$H$2,AG40,$H$3,AG52,$H$4,AG64)</f>
        <v>400</v>
      </c>
      <c r="AH11" s="39" cm="1">
        <f t="array" ref="AH11">_xlfn.SWITCH($E$5,$H$1,AH28,$H$2,AH40,$H$3,AH52,$H$4,AH64)</f>
        <v>385</v>
      </c>
      <c r="AI11" s="39" cm="1">
        <f t="array" ref="AI11">_xlfn.SWITCH($E$5,$H$1,AI28,$H$2,AI40,$H$3,AI52,$H$4,AI64)</f>
        <v>390</v>
      </c>
      <c r="AJ11" s="39" cm="1">
        <f t="array" ref="AJ11">_xlfn.SWITCH($E$5,$H$1,AJ28,$H$2,AJ40,$H$3,AJ52,$H$4,AJ64)</f>
        <v>2192.98</v>
      </c>
      <c r="AK11" s="39" cm="1">
        <f t="array" ref="AK11">_xlfn.SWITCH($E$5,$H$1,AK28,$H$2,AK40,$H$3,AK52,$H$4,AK64)</f>
        <v>2241.38</v>
      </c>
      <c r="AL11" s="39" cm="1">
        <f t="array" ref="AL11">_xlfn.SWITCH($E$5,$H$1,AL28,$H$2,AL40,$H$3,AL52,$H$4,AL64)</f>
        <v>2539.6799999999998</v>
      </c>
      <c r="AM11" s="39" cm="1">
        <f t="array" ref="AM11">_xlfn.SWITCH($E$5,$H$1,AM28,$H$2,AM40,$H$3,AM52,$H$4,AM64)</f>
        <v>2200</v>
      </c>
      <c r="AN11" s="39" cm="1">
        <f t="array" ref="AN11">_xlfn.SWITCH($E$5,$H$1,AN28,$H$2,AN40,$H$3,AN52,$H$4,AN64)</f>
        <v>2100</v>
      </c>
      <c r="AO11" s="39" cm="1">
        <f t="array" ref="AO11">_xlfn.SWITCH($E$5,$H$1,AO28,$H$2,AO40,$H$3,AO52,$H$4,AO64)</f>
        <v>2400</v>
      </c>
      <c r="AP11" s="39" cm="1">
        <f t="array" ref="AP11">_xlfn.SWITCH($E$5,$H$1,AP28,$H$2,AP40,$H$3,AP52,$H$4,AP64)</f>
        <v>2500</v>
      </c>
      <c r="AQ11" s="39" cm="1">
        <f t="array" ref="AQ11">_xlfn.SWITCH($E$5,$H$1,AQ28,$H$2,AQ40,$H$3,AQ52,$H$4,AQ64)</f>
        <v>2600</v>
      </c>
      <c r="AR11" s="39" cm="1">
        <f t="array" ref="AR11">_xlfn.SWITCH($E$5,$H$1,AR28,$H$2,AR40,$H$3,AR52,$H$4,AR64)</f>
        <v>2400</v>
      </c>
    </row>
    <row r="12" spans="1:44" ht="18">
      <c r="B12" s="14" t="s">
        <v>23</v>
      </c>
      <c r="C12" s="39" cm="1">
        <f t="array" ref="C12">_xlfn.SWITCH($E$5,$H$1,C29,$H$2,C41,$H$3,C53,$H$4,C65)</f>
        <v>170000</v>
      </c>
      <c r="D12" s="39" cm="1">
        <f t="array" ref="D12">_xlfn.SWITCH($E$5,$H$1,D29,$H$2,D41,$H$3,D53,$H$4,D65)</f>
        <v>160000</v>
      </c>
      <c r="E12" s="39" cm="1">
        <f t="array" ref="E12">_xlfn.SWITCH($E$5,$H$1,E29,$H$2,E41,$H$3,E53,$H$4,E65)</f>
        <v>185000</v>
      </c>
      <c r="F12" s="39" cm="1">
        <f t="array" ref="F12">_xlfn.SWITCH($E$5,$H$1,F29,$H$2,F41,$H$3,F53,$H$4,F65)</f>
        <v>150000</v>
      </c>
      <c r="G12" s="39" cm="1">
        <f t="array" ref="G12">_xlfn.SWITCH($E$5,$H$1,G29,$H$2,G41,$H$3,G53,$H$4,G65)</f>
        <v>140000</v>
      </c>
      <c r="H12" s="39" cm="1">
        <f t="array" ref="H12">_xlfn.SWITCH($E$5,$H$1,H29,$H$2,H41,$H$3,H53,$H$4,H65)</f>
        <v>150000</v>
      </c>
      <c r="I12" s="39" cm="1">
        <f t="array" ref="I12">_xlfn.SWITCH($E$5,$H$1,I29,$H$2,I41,$H$3,I53,$H$4,I65)</f>
        <v>160000</v>
      </c>
      <c r="J12" s="39" cm="1">
        <f t="array" ref="J12">_xlfn.SWITCH($E$5,$H$1,J29,$H$2,J41,$H$3,J53,$H$4,J65)</f>
        <v>130000</v>
      </c>
      <c r="K12" s="39" cm="1">
        <f t="array" ref="K12">_xlfn.SWITCH($E$5,$H$1,K29,$H$2,K41,$H$3,K53,$H$4,K65)</f>
        <v>125000</v>
      </c>
      <c r="L12" s="39" cm="1">
        <f t="array" ref="L12">_xlfn.SWITCH($E$5,$H$1,L29,$H$2,L41,$H$3,L53,$H$4,L65)</f>
        <v>74</v>
      </c>
      <c r="M12" s="39" cm="1">
        <f t="array" ref="M12">_xlfn.SWITCH($E$5,$H$1,M29,$H$2,M41,$H$3,M53,$H$4,M65)</f>
        <v>70</v>
      </c>
      <c r="N12" s="39" cm="1">
        <f t="array" ref="N12">_xlfn.SWITCH($E$5,$H$1,N29,$H$2,N41,$H$3,N53,$H$4,N65)</f>
        <v>74</v>
      </c>
      <c r="O12" s="39" cm="1">
        <f t="array" ref="O12">_xlfn.SWITCH($E$5,$H$1,O29,$H$2,O41,$H$3,O53,$H$4,O65)</f>
        <v>25</v>
      </c>
      <c r="P12" s="39" cm="1">
        <f t="array" ref="P12">_xlfn.SWITCH($E$5,$H$1,P29,$H$2,P41,$H$3,P53,$H$4,P65)</f>
        <v>20</v>
      </c>
      <c r="Q12" s="39" cm="1">
        <f t="array" ref="Q12">_xlfn.SWITCH($E$5,$H$1,Q29,$H$2,Q41,$H$3,Q53,$H$4,Q65)</f>
        <v>25</v>
      </c>
      <c r="R12" s="39" cm="1">
        <f t="array" ref="R12">_xlfn.SWITCH($E$5,$H$1,R29,$H$2,R41,$H$3,R53,$H$4,R65)</f>
        <v>22</v>
      </c>
      <c r="S12" s="39" cm="1">
        <f t="array" ref="S12">_xlfn.SWITCH($E$5,$H$1,S29,$H$2,S41,$H$3,S53,$H$4,S65)</f>
        <v>23</v>
      </c>
      <c r="T12" s="39" cm="1">
        <f t="array" ref="T12">_xlfn.SWITCH($E$5,$H$1,T29,$H$2,T41,$H$3,T53,$H$4,T65)</f>
        <v>26</v>
      </c>
      <c r="U12" s="39" cm="1">
        <f t="array" ref="U12">_xlfn.SWITCH($E$5,$H$1,U29,$H$2,U41,$H$3,U53,$H$4,U65)</f>
        <v>17</v>
      </c>
      <c r="V12" s="39" cm="1">
        <f t="array" ref="V12">_xlfn.SWITCH($E$5,$H$1,V29,$H$2,V41,$H$3,V53,$H$4,V65)</f>
        <v>24</v>
      </c>
      <c r="W12" s="39" cm="1">
        <f t="array" ref="W12">_xlfn.SWITCH($E$5,$H$1,W29,$H$2,W41,$H$3,W53,$H$4,W65)</f>
        <v>22</v>
      </c>
      <c r="X12" s="39" cm="1">
        <f t="array" ref="X12">_xlfn.SWITCH($E$5,$H$1,X29,$H$2,X41,$H$3,X53,$H$4,X65)</f>
        <v>7800</v>
      </c>
      <c r="Y12" s="39" cm="1">
        <f t="array" ref="Y12">_xlfn.SWITCH($E$5,$H$1,Y29,$H$2,Y41,$H$3,Y53,$H$4,Y65)</f>
        <v>10000</v>
      </c>
      <c r="Z12" s="39" cm="1">
        <f t="array" ref="Z12">_xlfn.SWITCH($E$5,$H$1,Z29,$H$2,Z41,$H$3,Z53,$H$4,Z65)</f>
        <v>9000</v>
      </c>
      <c r="AA12" s="39" cm="1">
        <f t="array" ref="AA12">_xlfn.SWITCH($E$5,$H$1,AA29,$H$2,AA41,$H$3,AA53,$H$4,AA65)</f>
        <v>354.55</v>
      </c>
      <c r="AB12" s="39" cm="1">
        <f t="array" ref="AB12">_xlfn.SWITCH($E$5,$H$1,AB29,$H$2,AB41,$H$3,AB53,$H$4,AB65)</f>
        <v>434.78</v>
      </c>
      <c r="AC12" s="39" cm="1">
        <f t="array" ref="AC12">_xlfn.SWITCH($E$5,$H$1,AC29,$H$2,AC41,$H$3,AC53,$H$4,AC65)</f>
        <v>346.15</v>
      </c>
      <c r="AD12" s="39" cm="1">
        <f t="array" ref="AD12">_xlfn.SWITCH($E$5,$H$1,AD29,$H$2,AD41,$H$3,AD53,$H$4,AD65)</f>
        <v>350</v>
      </c>
      <c r="AE12" s="39" cm="1">
        <f t="array" ref="AE12">_xlfn.SWITCH($E$5,$H$1,AE29,$H$2,AE41,$H$3,AE53,$H$4,AE65)</f>
        <v>350</v>
      </c>
      <c r="AF12" s="39" cm="1">
        <f t="array" ref="AF12">_xlfn.SWITCH($E$5,$H$1,AF29,$H$2,AF41,$H$3,AF53,$H$4,AF65)</f>
        <v>350</v>
      </c>
      <c r="AG12" s="39" cm="1">
        <f t="array" ref="AG12">_xlfn.SWITCH($E$5,$H$1,AG29,$H$2,AG41,$H$3,AG53,$H$4,AG65)</f>
        <v>402</v>
      </c>
      <c r="AH12" s="39" cm="1">
        <f t="array" ref="AH12">_xlfn.SWITCH($E$5,$H$1,AH29,$H$2,AH41,$H$3,AH53,$H$4,AH65)</f>
        <v>290</v>
      </c>
      <c r="AI12" s="39" cm="1">
        <f t="array" ref="AI12">_xlfn.SWITCH($E$5,$H$1,AI29,$H$2,AI41,$H$3,AI53,$H$4,AI65)</f>
        <v>380</v>
      </c>
      <c r="AJ12" s="39" cm="1">
        <f t="array" ref="AJ12">_xlfn.SWITCH($E$5,$H$1,AJ29,$H$2,AJ41,$H$3,AJ53,$H$4,AJ65)</f>
        <v>2432.4299999999998</v>
      </c>
      <c r="AK12" s="39" cm="1">
        <f t="array" ref="AK12">_xlfn.SWITCH($E$5,$H$1,AK29,$H$2,AK41,$H$3,AK53,$H$4,AK65)</f>
        <v>2285.71</v>
      </c>
      <c r="AL12" s="39" cm="1">
        <f t="array" ref="AL12">_xlfn.SWITCH($E$5,$H$1,AL29,$H$2,AL41,$H$3,AL53,$H$4,AL65)</f>
        <v>2500</v>
      </c>
      <c r="AM12" s="39" cm="1">
        <f t="array" ref="AM12">_xlfn.SWITCH($E$5,$H$1,AM29,$H$2,AM41,$H$3,AM53,$H$4,AM65)</f>
        <v>2100</v>
      </c>
      <c r="AN12" s="39" cm="1">
        <f t="array" ref="AN12">_xlfn.SWITCH($E$5,$H$1,AN29,$H$2,AN41,$H$3,AN53,$H$4,AN65)</f>
        <v>2200</v>
      </c>
      <c r="AO12" s="39" cm="1">
        <f t="array" ref="AO12">_xlfn.SWITCH($E$5,$H$1,AO29,$H$2,AO41,$H$3,AO53,$H$4,AO65)</f>
        <v>2300</v>
      </c>
      <c r="AP12" s="39" cm="1">
        <f t="array" ref="AP12">_xlfn.SWITCH($E$5,$H$1,AP29,$H$2,AP41,$H$3,AP53,$H$4,AP65)</f>
        <v>2500</v>
      </c>
      <c r="AQ12" s="39" cm="1">
        <f t="array" ref="AQ12">_xlfn.SWITCH($E$5,$H$1,AQ29,$H$2,AQ41,$H$3,AQ53,$H$4,AQ65)</f>
        <v>2600</v>
      </c>
      <c r="AR12" s="39" cm="1">
        <f t="array" ref="AR12">_xlfn.SWITCH($E$5,$H$1,AR29,$H$2,AR41,$H$3,AR53,$H$4,AR65)</f>
        <v>2400</v>
      </c>
    </row>
    <row r="13" spans="1:44" ht="18">
      <c r="B13" s="14" t="s">
        <v>24</v>
      </c>
      <c r="C13" s="39" cm="1">
        <f t="array" ref="C13">_xlfn.SWITCH($E$5,$H$1,C30,$H$2,C42,$H$3,C54,$H$4,C66)</f>
        <v>175000</v>
      </c>
      <c r="D13" s="39" cm="1">
        <f t="array" ref="D13">_xlfn.SWITCH($E$5,$H$1,D30,$H$2,D42,$H$3,D54,$H$4,D66)</f>
        <v>135000</v>
      </c>
      <c r="E13" s="39" cm="1">
        <f t="array" ref="E13">_xlfn.SWITCH($E$5,$H$1,E30,$H$2,E42,$H$3,E54,$H$4,E66)</f>
        <v>145000</v>
      </c>
      <c r="F13" s="39" cm="1">
        <f t="array" ref="F13">_xlfn.SWITCH($E$5,$H$1,F30,$H$2,F42,$H$3,F54,$H$4,F66)</f>
        <v>150000</v>
      </c>
      <c r="G13" s="39" cm="1">
        <f t="array" ref="G13">_xlfn.SWITCH($E$5,$H$1,G30,$H$2,G42,$H$3,G54,$H$4,G66)</f>
        <v>140000</v>
      </c>
      <c r="H13" s="39" cm="1">
        <f t="array" ref="H13">_xlfn.SWITCH($E$5,$H$1,H30,$H$2,H42,$H$3,H54,$H$4,H66)</f>
        <v>150000</v>
      </c>
      <c r="I13" s="39" cm="1">
        <f t="array" ref="I13">_xlfn.SWITCH($E$5,$H$1,I30,$H$2,I42,$H$3,I54,$H$4,I66)</f>
        <v>170000</v>
      </c>
      <c r="J13" s="39" cm="1">
        <f t="array" ref="J13">_xlfn.SWITCH($E$5,$H$1,J30,$H$2,J42,$H$3,J54,$H$4,J66)</f>
        <v>145000</v>
      </c>
      <c r="K13" s="39" cm="1">
        <f t="array" ref="K13">_xlfn.SWITCH($E$5,$H$1,K30,$H$2,K42,$H$3,K54,$H$4,K66)</f>
        <v>130000</v>
      </c>
      <c r="L13" s="39" cm="1">
        <f t="array" ref="L13">_xlfn.SWITCH($E$5,$H$1,L30,$H$2,L42,$H$3,L54,$H$4,L66)</f>
        <v>70</v>
      </c>
      <c r="M13" s="39" cm="1">
        <f t="array" ref="M13">_xlfn.SWITCH($E$5,$H$1,M30,$H$2,M42,$H$3,M54,$H$4,M66)</f>
        <v>55</v>
      </c>
      <c r="N13" s="39" cm="1">
        <f t="array" ref="N13">_xlfn.SWITCH($E$5,$H$1,N30,$H$2,N42,$H$3,N54,$H$4,N66)</f>
        <v>61</v>
      </c>
      <c r="O13" s="39" cm="1">
        <f t="array" ref="O13">_xlfn.SWITCH($E$5,$H$1,O30,$H$2,O42,$H$3,O54,$H$4,O66)</f>
        <v>25</v>
      </c>
      <c r="P13" s="39" cm="1">
        <f t="array" ref="P13">_xlfn.SWITCH($E$5,$H$1,P30,$H$2,P42,$H$3,P54,$H$4,P66)</f>
        <v>20</v>
      </c>
      <c r="Q13" s="39" cm="1">
        <f t="array" ref="Q13">_xlfn.SWITCH($E$5,$H$1,Q30,$H$2,Q42,$H$3,Q54,$H$4,Q66)</f>
        <v>25</v>
      </c>
      <c r="R13" s="39" cm="1">
        <f t="array" ref="R13">_xlfn.SWITCH($E$5,$H$1,R30,$H$2,R42,$H$3,R54,$H$4,R66)</f>
        <v>35</v>
      </c>
      <c r="S13" s="39" cm="1">
        <f t="array" ref="S13">_xlfn.SWITCH($E$5,$H$1,S30,$H$2,S42,$H$3,S54,$H$4,S66)</f>
        <v>20</v>
      </c>
      <c r="T13" s="39" cm="1">
        <f t="array" ref="T13">_xlfn.SWITCH($E$5,$H$1,T30,$H$2,T42,$H$3,T54,$H$4,T66)</f>
        <v>17</v>
      </c>
      <c r="U13" s="39" cm="1">
        <f t="array" ref="U13">_xlfn.SWITCH($E$5,$H$1,U30,$H$2,U42,$H$3,U54,$H$4,U66)</f>
        <v>36</v>
      </c>
      <c r="V13" s="39" cm="1">
        <f t="array" ref="V13">_xlfn.SWITCH($E$5,$H$1,V30,$H$2,V42,$H$3,V54,$H$4,V66)</f>
        <v>25</v>
      </c>
      <c r="W13" s="39" cm="1">
        <f t="array" ref="W13">_xlfn.SWITCH($E$5,$H$1,W30,$H$2,W42,$H$3,W54,$H$4,W66)</f>
        <v>21</v>
      </c>
      <c r="X13" s="39" cm="1">
        <f t="array" ref="X13">_xlfn.SWITCH($E$5,$H$1,X30,$H$2,X42,$H$3,X54,$H$4,X66)</f>
        <v>13200</v>
      </c>
      <c r="Y13" s="39" cm="1">
        <f t="array" ref="Y13">_xlfn.SWITCH($E$5,$H$1,Y30,$H$2,Y42,$H$3,Y54,$H$4,Y66)</f>
        <v>9500</v>
      </c>
      <c r="Z13" s="39" cm="1">
        <f t="array" ref="Z13">_xlfn.SWITCH($E$5,$H$1,Z30,$H$2,Z42,$H$3,Z54,$H$4,Z66)</f>
        <v>8300</v>
      </c>
      <c r="AA13" s="39" cm="1">
        <f t="array" ref="AA13">_xlfn.SWITCH($E$5,$H$1,AA30,$H$2,AA42,$H$3,AA54,$H$4,AA66)</f>
        <v>377.14</v>
      </c>
      <c r="AB13" s="39" cm="1">
        <f t="array" ref="AB13">_xlfn.SWITCH($E$5,$H$1,AB30,$H$2,AB42,$H$3,AB54,$H$4,AB66)</f>
        <v>475</v>
      </c>
      <c r="AC13" s="39" cm="1">
        <f t="array" ref="AC13">_xlfn.SWITCH($E$5,$H$1,AC30,$H$2,AC42,$H$3,AC54,$H$4,AC66)</f>
        <v>488.24</v>
      </c>
      <c r="AD13" s="39" cm="1">
        <f t="array" ref="AD13">_xlfn.SWITCH($E$5,$H$1,AD30,$H$2,AD42,$H$3,AD54,$H$4,AD66)</f>
        <v>350</v>
      </c>
      <c r="AE13" s="39" cm="1">
        <f t="array" ref="AE13">_xlfn.SWITCH($E$5,$H$1,AE30,$H$2,AE42,$H$3,AE54,$H$4,AE66)</f>
        <v>350</v>
      </c>
      <c r="AF13" s="39" cm="1">
        <f t="array" ref="AF13">_xlfn.SWITCH($E$5,$H$1,AF30,$H$2,AF42,$H$3,AF54,$H$4,AF66)</f>
        <v>350</v>
      </c>
      <c r="AG13" s="39" cm="1">
        <f t="array" ref="AG13">_xlfn.SWITCH($E$5,$H$1,AG30,$H$2,AG42,$H$3,AG54,$H$4,AG66)</f>
        <v>350</v>
      </c>
      <c r="AH13" s="39" cm="1">
        <f t="array" ref="AH13">_xlfn.SWITCH($E$5,$H$1,AH30,$H$2,AH42,$H$3,AH54,$H$4,AH66)</f>
        <v>385</v>
      </c>
      <c r="AI13" s="39" cm="1">
        <f t="array" ref="AI13">_xlfn.SWITCH($E$5,$H$1,AI30,$H$2,AI42,$H$3,AI54,$H$4,AI66)</f>
        <v>352</v>
      </c>
      <c r="AJ13" s="39" cm="1">
        <f t="array" ref="AJ13">_xlfn.SWITCH($E$5,$H$1,AJ30,$H$2,AJ42,$H$3,AJ54,$H$4,AJ66)</f>
        <v>2428.5700000000002</v>
      </c>
      <c r="AK13" s="39" cm="1">
        <f t="array" ref="AK13">_xlfn.SWITCH($E$5,$H$1,AK30,$H$2,AK42,$H$3,AK54,$H$4,AK66)</f>
        <v>2454.5500000000002</v>
      </c>
      <c r="AL13" s="39" cm="1">
        <f t="array" ref="AL13">_xlfn.SWITCH($E$5,$H$1,AL30,$H$2,AL42,$H$3,AL54,$H$4,AL66)</f>
        <v>2377.0500000000002</v>
      </c>
      <c r="AM13" s="39" cm="1">
        <f t="array" ref="AM13">_xlfn.SWITCH($E$5,$H$1,AM30,$H$2,AM42,$H$3,AM54,$H$4,AM66)</f>
        <v>2500</v>
      </c>
      <c r="AN13" s="39" cm="1">
        <f t="array" ref="AN13">_xlfn.SWITCH($E$5,$H$1,AN30,$H$2,AN42,$H$3,AN54,$H$4,AN66)</f>
        <v>2500</v>
      </c>
      <c r="AO13" s="39" cm="1">
        <f t="array" ref="AO13">_xlfn.SWITCH($E$5,$H$1,AO30,$H$2,AO42,$H$3,AO54,$H$4,AO66)</f>
        <v>2300</v>
      </c>
      <c r="AP13" s="39" cm="1">
        <f t="array" ref="AP13">_xlfn.SWITCH($E$5,$H$1,AP30,$H$2,AP42,$H$3,AP54,$H$4,AP66)</f>
        <v>2500</v>
      </c>
      <c r="AQ13" s="39" cm="1">
        <f t="array" ref="AQ13">_xlfn.SWITCH($E$5,$H$1,AQ30,$H$2,AQ42,$H$3,AQ54,$H$4,AQ66)</f>
        <v>2600</v>
      </c>
      <c r="AR13" s="39" cm="1">
        <f t="array" ref="AR13">_xlfn.SWITCH($E$5,$H$1,AR30,$H$2,AR42,$H$3,AR54,$H$4,AR66)</f>
        <v>2400</v>
      </c>
    </row>
    <row r="14" spans="1:44" ht="18">
      <c r="B14" s="14" t="s">
        <v>25</v>
      </c>
      <c r="C14" s="39" cm="1">
        <f t="array" ref="C14">_xlfn.SWITCH($E$5,$H$1,C31,$H$2,C43,$H$3,C55,$H$4,C67)</f>
        <v>156000</v>
      </c>
      <c r="D14" s="39" cm="1">
        <f t="array" ref="D14">_xlfn.SWITCH($E$5,$H$1,D31,$H$2,D43,$H$3,D55,$H$4,D67)</f>
        <v>175000</v>
      </c>
      <c r="E14" s="39" cm="1">
        <f t="array" ref="E14">_xlfn.SWITCH($E$5,$H$1,E31,$H$2,E43,$H$3,E55,$H$4,E67)</f>
        <v>155000</v>
      </c>
      <c r="F14" s="39" cm="1">
        <f t="array" ref="F14">_xlfn.SWITCH($E$5,$H$1,F31,$H$2,F43,$H$3,F55,$H$4,F67)</f>
        <v>150000</v>
      </c>
      <c r="G14" s="39" cm="1">
        <f t="array" ref="G14">_xlfn.SWITCH($E$5,$H$1,G31,$H$2,G43,$H$3,G55,$H$4,G67)</f>
        <v>140000</v>
      </c>
      <c r="H14" s="39" cm="1">
        <f t="array" ref="H14">_xlfn.SWITCH($E$5,$H$1,H31,$H$2,H43,$H$3,H55,$H$4,H67)</f>
        <v>150000</v>
      </c>
      <c r="I14" s="39" cm="1">
        <f t="array" ref="I14">_xlfn.SWITCH($E$5,$H$1,I31,$H$2,I43,$H$3,I55,$H$4,I67)</f>
        <v>165000</v>
      </c>
      <c r="J14" s="39" cm="1">
        <f t="array" ref="J14">_xlfn.SWITCH($E$5,$H$1,J31,$H$2,J43,$H$3,J55,$H$4,J67)</f>
        <v>155000</v>
      </c>
      <c r="K14" s="39" cm="1">
        <f t="array" ref="K14">_xlfn.SWITCH($E$5,$H$1,K31,$H$2,K43,$H$3,K55,$H$4,K67)</f>
        <v>140000</v>
      </c>
      <c r="L14" s="39" cm="1">
        <f t="array" ref="L14">_xlfn.SWITCH($E$5,$H$1,L31,$H$2,L43,$H$3,L55,$H$4,L67)</f>
        <v>66</v>
      </c>
      <c r="M14" s="39" cm="1">
        <f t="array" ref="M14">_xlfn.SWITCH($E$5,$H$1,M31,$H$2,M43,$H$3,M55,$H$4,M67)</f>
        <v>68</v>
      </c>
      <c r="N14" s="39" cm="1">
        <f t="array" ref="N14">_xlfn.SWITCH($E$5,$H$1,N31,$H$2,N43,$H$3,N55,$H$4,N67)</f>
        <v>63</v>
      </c>
      <c r="O14" s="39" cm="1">
        <f t="array" ref="O14">_xlfn.SWITCH($E$5,$H$1,O31,$H$2,O43,$H$3,O55,$H$4,O67)</f>
        <v>25</v>
      </c>
      <c r="P14" s="39" cm="1">
        <f t="array" ref="P14">_xlfn.SWITCH($E$5,$H$1,P31,$H$2,P43,$H$3,P55,$H$4,P67)</f>
        <v>20</v>
      </c>
      <c r="Q14" s="39" cm="1">
        <f t="array" ref="Q14">_xlfn.SWITCH($E$5,$H$1,Q31,$H$2,Q43,$H$3,Q55,$H$4,Q67)</f>
        <v>25</v>
      </c>
      <c r="R14" s="39" cm="1">
        <f t="array" ref="R14">_xlfn.SWITCH($E$5,$H$1,R31,$H$2,R43,$H$3,R55,$H$4,R67)</f>
        <v>18</v>
      </c>
      <c r="S14" s="39" cm="1">
        <f t="array" ref="S14">_xlfn.SWITCH($E$5,$H$1,S31,$H$2,S43,$H$3,S55,$H$4,S67)</f>
        <v>14</v>
      </c>
      <c r="T14" s="39" cm="1">
        <f t="array" ref="T14">_xlfn.SWITCH($E$5,$H$1,T31,$H$2,T43,$H$3,T55,$H$4,T67)</f>
        <v>24</v>
      </c>
      <c r="U14" s="39" cm="1">
        <f t="array" ref="U14">_xlfn.SWITCH($E$5,$H$1,U31,$H$2,U43,$H$3,U55,$H$4,U67)</f>
        <v>14</v>
      </c>
      <c r="V14" s="39" cm="1">
        <f t="array" ref="V14">_xlfn.SWITCH($E$5,$H$1,V31,$H$2,V43,$H$3,V55,$H$4,V67)</f>
        <v>25</v>
      </c>
      <c r="W14" s="39" cm="1">
        <f t="array" ref="W14">_xlfn.SWITCH($E$5,$H$1,W31,$H$2,W43,$H$3,W55,$H$4,W67)</f>
        <v>22</v>
      </c>
      <c r="X14" s="39" cm="1">
        <f t="array" ref="X14">_xlfn.SWITCH($E$5,$H$1,X31,$H$2,X43,$H$3,X55,$H$4,X67)</f>
        <v>6500</v>
      </c>
      <c r="Y14" s="39" cm="1">
        <f t="array" ref="Y14">_xlfn.SWITCH($E$5,$H$1,Y31,$H$2,Y43,$H$3,Y55,$H$4,Y67)</f>
        <v>9000</v>
      </c>
      <c r="Z14" s="39" cm="1">
        <f t="array" ref="Z14">_xlfn.SWITCH($E$5,$H$1,Z31,$H$2,Z43,$H$3,Z55,$H$4,Z67)</f>
        <v>8500</v>
      </c>
      <c r="AA14" s="39" cm="1">
        <f t="array" ref="AA14">_xlfn.SWITCH($E$5,$H$1,AA31,$H$2,AA43,$H$3,AA55,$H$4,AA67)</f>
        <v>361.11</v>
      </c>
      <c r="AB14" s="39" cm="1">
        <f t="array" ref="AB14">_xlfn.SWITCH($E$5,$H$1,AB31,$H$2,AB43,$H$3,AB55,$H$4,AB67)</f>
        <v>642.86</v>
      </c>
      <c r="AC14" s="39" cm="1">
        <f t="array" ref="AC14">_xlfn.SWITCH($E$5,$H$1,AC31,$H$2,AC43,$H$3,AC55,$H$4,AC67)</f>
        <v>354.17</v>
      </c>
      <c r="AD14" s="39" cm="1">
        <f t="array" ref="AD14">_xlfn.SWITCH($E$5,$H$1,AD31,$H$2,AD43,$H$3,AD55,$H$4,AD67)</f>
        <v>350</v>
      </c>
      <c r="AE14" s="39" cm="1">
        <f t="array" ref="AE14">_xlfn.SWITCH($E$5,$H$1,AE31,$H$2,AE43,$H$3,AE55,$H$4,AE67)</f>
        <v>350</v>
      </c>
      <c r="AF14" s="39" cm="1">
        <f t="array" ref="AF14">_xlfn.SWITCH($E$5,$H$1,AF31,$H$2,AF43,$H$3,AF55,$H$4,AF67)</f>
        <v>350</v>
      </c>
      <c r="AG14" s="39" cm="1">
        <f t="array" ref="AG14">_xlfn.SWITCH($E$5,$H$1,AG31,$H$2,AG43,$H$3,AG55,$H$4,AG67)</f>
        <v>350</v>
      </c>
      <c r="AH14" s="39" cm="1">
        <f t="array" ref="AH14">_xlfn.SWITCH($E$5,$H$1,AH31,$H$2,AH43,$H$3,AH55,$H$4,AH67)</f>
        <v>360</v>
      </c>
      <c r="AI14" s="39" cm="1">
        <f t="array" ref="AI14">_xlfn.SWITCH($E$5,$H$1,AI31,$H$2,AI43,$H$3,AI55,$H$4,AI67)</f>
        <v>388</v>
      </c>
      <c r="AJ14" s="39" cm="1">
        <f t="array" ref="AJ14">_xlfn.SWITCH($E$5,$H$1,AJ31,$H$2,AJ43,$H$3,AJ55,$H$4,AJ67)</f>
        <v>2272.73</v>
      </c>
      <c r="AK14" s="39" cm="1">
        <f t="array" ref="AK14">_xlfn.SWITCH($E$5,$H$1,AK31,$H$2,AK43,$H$3,AK55,$H$4,AK67)</f>
        <v>2573.5300000000002</v>
      </c>
      <c r="AL14" s="39" cm="1">
        <f t="array" ref="AL14">_xlfn.SWITCH($E$5,$H$1,AL31,$H$2,AL43,$H$3,AL55,$H$4,AL67)</f>
        <v>2460.3200000000002</v>
      </c>
      <c r="AM14" s="39" cm="1">
        <f t="array" ref="AM14">_xlfn.SWITCH($E$5,$H$1,AM31,$H$2,AM43,$H$3,AM55,$H$4,AM67)</f>
        <v>2200</v>
      </c>
      <c r="AN14" s="39" cm="1">
        <f t="array" ref="AN14">_xlfn.SWITCH($E$5,$H$1,AN31,$H$2,AN43,$H$3,AN55,$H$4,AN67)</f>
        <v>2600</v>
      </c>
      <c r="AO14" s="39" cm="1">
        <f t="array" ref="AO14">_xlfn.SWITCH($E$5,$H$1,AO31,$H$2,AO43,$H$3,AO55,$H$4,AO67)</f>
        <v>2400</v>
      </c>
      <c r="AP14" s="39" cm="1">
        <f t="array" ref="AP14">_xlfn.SWITCH($E$5,$H$1,AP31,$H$2,AP43,$H$3,AP55,$H$4,AP67)</f>
        <v>2500</v>
      </c>
      <c r="AQ14" s="39" cm="1">
        <f t="array" ref="AQ14">_xlfn.SWITCH($E$5,$H$1,AQ31,$H$2,AQ43,$H$3,AQ55,$H$4,AQ67)</f>
        <v>2600</v>
      </c>
      <c r="AR14" s="39" cm="1">
        <f t="array" ref="AR14">_xlfn.SWITCH($E$5,$H$1,AR31,$H$2,AR43,$H$3,AR55,$H$4,AR67)</f>
        <v>2400</v>
      </c>
    </row>
    <row r="15" spans="1:44" ht="18">
      <c r="B15" s="14" t="s">
        <v>26</v>
      </c>
      <c r="C15" s="39" cm="1">
        <f t="array" ref="C15">_xlfn.SWITCH($E$5,$H$1,C32,$H$2,C44,$H$3,C56,$H$4,C68)</f>
        <v>135500</v>
      </c>
      <c r="D15" s="39" cm="1">
        <f t="array" ref="D15">_xlfn.SWITCH($E$5,$H$1,D32,$H$2,D44,$H$3,D56,$H$4,D68)</f>
        <v>190000</v>
      </c>
      <c r="E15" s="39" cm="1">
        <f t="array" ref="E15">_xlfn.SWITCH($E$5,$H$1,E32,$H$2,E44,$H$3,E56,$H$4,E68)</f>
        <v>140000</v>
      </c>
      <c r="F15" s="39" cm="1">
        <f t="array" ref="F15">_xlfn.SWITCH($E$5,$H$1,F32,$H$2,F44,$H$3,F56,$H$4,F68)</f>
        <v>150000</v>
      </c>
      <c r="G15" s="39" cm="1">
        <f t="array" ref="G15">_xlfn.SWITCH($E$5,$H$1,G32,$H$2,G44,$H$3,G56,$H$4,G68)</f>
        <v>140000</v>
      </c>
      <c r="H15" s="39" cm="1">
        <f t="array" ref="H15">_xlfn.SWITCH($E$5,$H$1,H32,$H$2,H44,$H$3,H56,$H$4,H68)</f>
        <v>150000</v>
      </c>
      <c r="I15" s="39" cm="1">
        <f t="array" ref="I15">_xlfn.SWITCH($E$5,$H$1,I32,$H$2,I44,$H$3,I56,$H$4,I68)</f>
        <v>155000</v>
      </c>
      <c r="J15" s="39" cm="1">
        <f t="array" ref="J15">_xlfn.SWITCH($E$5,$H$1,J32,$H$2,J44,$H$3,J56,$H$4,J68)</f>
        <v>120000</v>
      </c>
      <c r="K15" s="39" cm="1">
        <f t="array" ref="K15">_xlfn.SWITCH($E$5,$H$1,K32,$H$2,K44,$H$3,K56,$H$4,K68)</f>
        <v>150000</v>
      </c>
      <c r="L15" s="39" cm="1">
        <f t="array" ref="L15">_xlfn.SWITCH($E$5,$H$1,L32,$H$2,L44,$H$3,L56,$H$4,L68)</f>
        <v>71</v>
      </c>
      <c r="M15" s="39" cm="1">
        <f t="array" ref="M15">_xlfn.SWITCH($E$5,$H$1,M32,$H$2,M44,$H$3,M56,$H$4,M68)</f>
        <v>62</v>
      </c>
      <c r="N15" s="39" cm="1">
        <f t="array" ref="N15">_xlfn.SWITCH($E$5,$H$1,N32,$H$2,N44,$H$3,N56,$H$4,N68)</f>
        <v>51</v>
      </c>
      <c r="O15" s="39" cm="1">
        <f t="array" ref="O15">_xlfn.SWITCH($E$5,$H$1,O32,$H$2,O44,$H$3,O56,$H$4,O68)</f>
        <v>25</v>
      </c>
      <c r="P15" s="39" cm="1">
        <f t="array" ref="P15">_xlfn.SWITCH($E$5,$H$1,P32,$H$2,P44,$H$3,P56,$H$4,P68)</f>
        <v>20</v>
      </c>
      <c r="Q15" s="39" cm="1">
        <f t="array" ref="Q15">_xlfn.SWITCH($E$5,$H$1,Q32,$H$2,Q44,$H$3,Q56,$H$4,Q68)</f>
        <v>25</v>
      </c>
      <c r="R15" s="39" cm="1">
        <f t="array" ref="R15">_xlfn.SWITCH($E$5,$H$1,R32,$H$2,R44,$H$3,R56,$H$4,R68)</f>
        <v>33</v>
      </c>
      <c r="S15" s="39" cm="1">
        <f t="array" ref="S15">_xlfn.SWITCH($E$5,$H$1,S32,$H$2,S44,$H$3,S56,$H$4,S68)</f>
        <v>20</v>
      </c>
      <c r="T15" s="39" cm="1">
        <f t="array" ref="T15">_xlfn.SWITCH($E$5,$H$1,T32,$H$2,T44,$H$3,T56,$H$4,T68)</f>
        <v>16</v>
      </c>
      <c r="U15" s="39" cm="1">
        <f t="array" ref="U15">_xlfn.SWITCH($E$5,$H$1,U32,$H$2,U44,$H$3,U56,$H$4,U68)</f>
        <v>20</v>
      </c>
      <c r="V15" s="39" cm="1">
        <f t="array" ref="V15">_xlfn.SWITCH($E$5,$H$1,V32,$H$2,V44,$H$3,V56,$H$4,V68)</f>
        <v>25</v>
      </c>
      <c r="W15" s="39" cm="1">
        <f t="array" ref="W15">_xlfn.SWITCH($E$5,$H$1,W32,$H$2,W44,$H$3,W56,$H$4,W68)</f>
        <v>24</v>
      </c>
      <c r="X15" s="39" cm="1">
        <f t="array" ref="X15">_xlfn.SWITCH($E$5,$H$1,X32,$H$2,X44,$H$3,X56,$H$4,X68)</f>
        <v>12100</v>
      </c>
      <c r="Y15" s="39" cm="1">
        <f t="array" ref="Y15">_xlfn.SWITCH($E$5,$H$1,Y32,$H$2,Y44,$H$3,Y56,$H$4,Y68)</f>
        <v>10800</v>
      </c>
      <c r="Z15" s="39" cm="1">
        <f t="array" ref="Z15">_xlfn.SWITCH($E$5,$H$1,Z32,$H$2,Z44,$H$3,Z56,$H$4,Z68)</f>
        <v>10500</v>
      </c>
      <c r="AA15" s="39" cm="1">
        <f t="array" ref="AA15">_xlfn.SWITCH($E$5,$H$1,AA32,$H$2,AA44,$H$3,AA56,$H$4,AA68)</f>
        <v>366.67</v>
      </c>
      <c r="AB15" s="39" cm="1">
        <f t="array" ref="AB15">_xlfn.SWITCH($E$5,$H$1,AB32,$H$2,AB44,$H$3,AB56,$H$4,AB68)</f>
        <v>540</v>
      </c>
      <c r="AC15" s="39" cm="1">
        <f t="array" ref="AC15">_xlfn.SWITCH($E$5,$H$1,AC32,$H$2,AC44,$H$3,AC56,$H$4,AC68)</f>
        <v>656.25</v>
      </c>
      <c r="AD15" s="39" cm="1">
        <f t="array" ref="AD15">_xlfn.SWITCH($E$5,$H$1,AD32,$H$2,AD44,$H$3,AD56,$H$4,AD68)</f>
        <v>350</v>
      </c>
      <c r="AE15" s="39" cm="1">
        <f t="array" ref="AE15">_xlfn.SWITCH($E$5,$H$1,AE32,$H$2,AE44,$H$3,AE56,$H$4,AE68)</f>
        <v>350</v>
      </c>
      <c r="AF15" s="39" cm="1">
        <f t="array" ref="AF15">_xlfn.SWITCH($E$5,$H$1,AF32,$H$2,AF44,$H$3,AF56,$H$4,AF68)</f>
        <v>350</v>
      </c>
      <c r="AG15" s="39" cm="1">
        <f t="array" ref="AG15">_xlfn.SWITCH($E$5,$H$1,AG32,$H$2,AG44,$H$3,AG56,$H$4,AG68)</f>
        <v>385</v>
      </c>
      <c r="AH15" s="39" cm="1">
        <f t="array" ref="AH15">_xlfn.SWITCH($E$5,$H$1,AH32,$H$2,AH44,$H$3,AH56,$H$4,AH68)</f>
        <v>350</v>
      </c>
      <c r="AI15" s="39" cm="1">
        <f t="array" ref="AI15">_xlfn.SWITCH($E$5,$H$1,AI32,$H$2,AI44,$H$3,AI56,$H$4,AI68)</f>
        <v>406</v>
      </c>
      <c r="AJ15" s="39" cm="1">
        <f t="array" ref="AJ15">_xlfn.SWITCH($E$5,$H$1,AJ32,$H$2,AJ44,$H$3,AJ56,$H$4,AJ68)</f>
        <v>1901.41</v>
      </c>
      <c r="AK15" s="39" cm="1">
        <f t="array" ref="AK15">_xlfn.SWITCH($E$5,$H$1,AK32,$H$2,AK44,$H$3,AK56,$H$4,AK68)</f>
        <v>3064.52</v>
      </c>
      <c r="AL15" s="39" cm="1">
        <f t="array" ref="AL15">_xlfn.SWITCH($E$5,$H$1,AL32,$H$2,AL44,$H$3,AL56,$H$4,AL68)</f>
        <v>2745.1</v>
      </c>
      <c r="AM15" s="39" cm="1">
        <f t="array" ref="AM15">_xlfn.SWITCH($E$5,$H$1,AM32,$H$2,AM44,$H$3,AM56,$H$4,AM68)</f>
        <v>2100</v>
      </c>
      <c r="AN15" s="39" cm="1">
        <f t="array" ref="AN15">_xlfn.SWITCH($E$5,$H$1,AN32,$H$2,AN44,$H$3,AN56,$H$4,AN68)</f>
        <v>2800</v>
      </c>
      <c r="AO15" s="39" cm="1">
        <f t="array" ref="AO15">_xlfn.SWITCH($E$5,$H$1,AO32,$H$2,AO44,$H$3,AO56,$H$4,AO68)</f>
        <v>2700</v>
      </c>
      <c r="AP15" s="39" cm="1">
        <f t="array" ref="AP15">_xlfn.SWITCH($E$5,$H$1,AP32,$H$2,AP44,$H$3,AP56,$H$4,AP68)</f>
        <v>2500</v>
      </c>
      <c r="AQ15" s="39" cm="1">
        <f t="array" ref="AQ15">_xlfn.SWITCH($E$5,$H$1,AQ32,$H$2,AQ44,$H$3,AQ56,$H$4,AQ68)</f>
        <v>2600</v>
      </c>
      <c r="AR15" s="39" cm="1">
        <f t="array" ref="AR15">_xlfn.SWITCH($E$5,$H$1,AR32,$H$2,AR44,$H$3,AR56,$H$4,AR68)</f>
        <v>2400</v>
      </c>
    </row>
    <row r="16" spans="1:44" ht="18">
      <c r="B16" s="15" t="s">
        <v>27</v>
      </c>
      <c r="C16" s="40">
        <f>SUM(C11:C15)</f>
        <v>771500</v>
      </c>
      <c r="D16" s="40">
        <f>SUM(D11:D15)</f>
        <v>790000</v>
      </c>
      <c r="E16" s="40">
        <f>SUM(E11:E15)</f>
        <v>785000</v>
      </c>
      <c r="F16" s="40">
        <f>SUM(F11:F15)</f>
        <v>750000</v>
      </c>
      <c r="G16" s="40">
        <f>SUM(G11:G15)</f>
        <v>700000</v>
      </c>
      <c r="H16" s="40">
        <f>SUM(H11:H15)</f>
        <v>750000</v>
      </c>
      <c r="I16" s="40">
        <f>SUM(I11:I15)</f>
        <v>765000</v>
      </c>
      <c r="J16" s="40">
        <f>SUM(J11:J15)</f>
        <v>690000</v>
      </c>
      <c r="K16" s="40">
        <f>SUM(K11:K15)</f>
        <v>705000</v>
      </c>
      <c r="L16" s="40">
        <f>SUM(L11:L15)</f>
        <v>338</v>
      </c>
      <c r="M16" s="40">
        <f>SUM(M11:M15)</f>
        <v>313</v>
      </c>
      <c r="N16" s="40">
        <f>SUM(N11:N15)</f>
        <v>312</v>
      </c>
      <c r="O16" s="40">
        <f>SUM(O11:O15)</f>
        <v>125</v>
      </c>
      <c r="P16" s="40">
        <f>SUM(P11:P15)</f>
        <v>100</v>
      </c>
      <c r="Q16" s="40">
        <f>SUM(Q11:Q15)</f>
        <v>125</v>
      </c>
      <c r="R16" s="40">
        <f t="shared" ref="R16:AR16" si="0">SUM(R11:R15)</f>
        <v>118</v>
      </c>
      <c r="S16" s="40">
        <f t="shared" si="0"/>
        <v>88</v>
      </c>
      <c r="T16" s="40">
        <f t="shared" si="0"/>
        <v>101</v>
      </c>
      <c r="U16" s="40">
        <f t="shared" si="0"/>
        <v>96</v>
      </c>
      <c r="V16" s="40">
        <f t="shared" si="0"/>
        <v>111</v>
      </c>
      <c r="W16" s="40">
        <f t="shared" si="0"/>
        <v>103</v>
      </c>
      <c r="X16" s="40">
        <f t="shared" si="0"/>
        <v>43800</v>
      </c>
      <c r="Y16" s="40">
        <f t="shared" si="0"/>
        <v>44300</v>
      </c>
      <c r="Z16" s="40">
        <f t="shared" si="0"/>
        <v>41800</v>
      </c>
      <c r="AA16" s="40">
        <f>AVERAGE(AA11:AA15)</f>
        <v>375.89400000000006</v>
      </c>
      <c r="AB16" s="40">
        <f t="shared" ref="AB16:AC16" si="1">AVERAGE(AB11:AB15)</f>
        <v>509.43799999999999</v>
      </c>
      <c r="AC16" s="40">
        <f t="shared" si="1"/>
        <v>430.07399999999996</v>
      </c>
      <c r="AD16" s="40">
        <f t="shared" ref="AD16" si="2">AVERAGE(AD11:AD15)</f>
        <v>350</v>
      </c>
      <c r="AE16" s="40">
        <f t="shared" ref="AE16" si="3">AVERAGE(AE11:AE15)</f>
        <v>350</v>
      </c>
      <c r="AF16" s="40">
        <f t="shared" ref="AF16" si="4">AVERAGE(AF11:AF15)</f>
        <v>350</v>
      </c>
      <c r="AG16" s="40">
        <f t="shared" ref="AG16" si="5">AVERAGE(AG11:AG15)</f>
        <v>377.4</v>
      </c>
      <c r="AH16" s="40">
        <f t="shared" ref="AH16" si="6">AVERAGE(AH11:AH15)</f>
        <v>354</v>
      </c>
      <c r="AI16" s="40">
        <f t="shared" ref="AI16" si="7">AVERAGE(AI11:AI15)</f>
        <v>383.2</v>
      </c>
      <c r="AJ16" s="40">
        <f t="shared" ref="AJ16" si="8">AVERAGE(AJ11:AJ15)</f>
        <v>2245.6239999999998</v>
      </c>
      <c r="AK16" s="40">
        <f t="shared" ref="AK16" si="9">AVERAGE(AK11:AK15)</f>
        <v>2523.9380000000001</v>
      </c>
      <c r="AL16" s="40">
        <f t="shared" ref="AL16" si="10">AVERAGE(AL11:AL15)</f>
        <v>2524.4300000000003</v>
      </c>
      <c r="AM16" s="40">
        <f t="shared" ref="AM16" si="11">AVERAGE(AM11:AM15)</f>
        <v>2220</v>
      </c>
      <c r="AN16" s="40">
        <f t="shared" ref="AN16" si="12">AVERAGE(AN11:AN15)</f>
        <v>2440</v>
      </c>
      <c r="AO16" s="40">
        <f t="shared" ref="AO16" si="13">AVERAGE(AO11:AO15)</f>
        <v>2420</v>
      </c>
      <c r="AP16" s="40">
        <f t="shared" ref="AP16" si="14">AVERAGE(AP11:AP15)</f>
        <v>2500</v>
      </c>
      <c r="AQ16" s="40">
        <f t="shared" ref="AQ16" si="15">AVERAGE(AQ11:AQ15)</f>
        <v>2600</v>
      </c>
      <c r="AR16" s="40">
        <f t="shared" ref="AR16" si="16">AVERAGE(AR11:AR15)</f>
        <v>2400</v>
      </c>
    </row>
    <row r="19" spans="2:44" ht="39">
      <c r="B19" s="20" t="s">
        <v>28</v>
      </c>
      <c r="C19" s="41">
        <f>SUM(L33:N33,L45:N45,L57:N57,L69:N69)</f>
        <v>3799</v>
      </c>
      <c r="D19" s="16"/>
    </row>
    <row r="20" spans="2:44" ht="39">
      <c r="B20" s="21" t="s">
        <v>29</v>
      </c>
      <c r="C20" s="42">
        <f>SUM(R33:T33,R45:T45,R57:T57,R69:T69)</f>
        <v>1228</v>
      </c>
      <c r="D20" s="17"/>
    </row>
    <row r="21" spans="2:44" ht="39">
      <c r="B21" s="21" t="s">
        <v>30</v>
      </c>
      <c r="C21" s="43">
        <f>C22/C19</f>
        <v>2440.5106607001844</v>
      </c>
      <c r="D21" s="18"/>
    </row>
    <row r="22" spans="2:44" ht="39">
      <c r="B22" s="22" t="s">
        <v>31</v>
      </c>
      <c r="C22" s="44">
        <f>SUM(C33:E33,C45:E45,C57:E57,C69:E69)</f>
        <v>9271500</v>
      </c>
      <c r="D22" s="19"/>
    </row>
    <row r="25" spans="2:44" ht="22.5">
      <c r="B25" s="29"/>
      <c r="C25" s="80" t="s">
        <v>32</v>
      </c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2"/>
    </row>
    <row r="26" spans="2:44">
      <c r="B26" s="30"/>
      <c r="C26" s="31" t="s">
        <v>33</v>
      </c>
      <c r="D26" s="31" t="s">
        <v>34</v>
      </c>
      <c r="E26" s="32" t="s">
        <v>35</v>
      </c>
      <c r="F26" s="31" t="s">
        <v>33</v>
      </c>
      <c r="G26" s="31" t="s">
        <v>34</v>
      </c>
      <c r="H26" s="32" t="s">
        <v>35</v>
      </c>
      <c r="I26" s="31" t="s">
        <v>33</v>
      </c>
      <c r="J26" s="31" t="s">
        <v>34</v>
      </c>
      <c r="K26" s="32" t="s">
        <v>35</v>
      </c>
      <c r="L26" s="31" t="s">
        <v>33</v>
      </c>
      <c r="M26" s="31" t="s">
        <v>34</v>
      </c>
      <c r="N26" s="32" t="s">
        <v>35</v>
      </c>
      <c r="O26" s="31" t="s">
        <v>33</v>
      </c>
      <c r="P26" s="31" t="s">
        <v>34</v>
      </c>
      <c r="Q26" s="32" t="s">
        <v>35</v>
      </c>
      <c r="R26" s="31" t="s">
        <v>33</v>
      </c>
      <c r="S26" s="31" t="s">
        <v>34</v>
      </c>
      <c r="T26" s="32" t="s">
        <v>35</v>
      </c>
      <c r="U26" s="31" t="s">
        <v>33</v>
      </c>
      <c r="V26" s="31" t="s">
        <v>34</v>
      </c>
      <c r="W26" s="32" t="s">
        <v>35</v>
      </c>
      <c r="X26" s="31" t="s">
        <v>33</v>
      </c>
      <c r="Y26" s="31" t="s">
        <v>34</v>
      </c>
      <c r="Z26" s="32" t="s">
        <v>35</v>
      </c>
      <c r="AA26" s="31" t="s">
        <v>33</v>
      </c>
      <c r="AB26" s="31" t="s">
        <v>34</v>
      </c>
      <c r="AC26" s="32" t="s">
        <v>35</v>
      </c>
      <c r="AD26" s="31" t="s">
        <v>33</v>
      </c>
      <c r="AE26" s="31" t="s">
        <v>34</v>
      </c>
      <c r="AF26" s="32" t="s">
        <v>35</v>
      </c>
      <c r="AG26" s="31" t="s">
        <v>33</v>
      </c>
      <c r="AH26" s="31" t="s">
        <v>34</v>
      </c>
      <c r="AI26" s="32" t="s">
        <v>35</v>
      </c>
      <c r="AJ26" s="31" t="s">
        <v>33</v>
      </c>
      <c r="AK26" s="31" t="s">
        <v>34</v>
      </c>
      <c r="AL26" s="32" t="s">
        <v>35</v>
      </c>
      <c r="AM26" s="31" t="s">
        <v>33</v>
      </c>
      <c r="AN26" s="31" t="s">
        <v>34</v>
      </c>
      <c r="AO26" s="32" t="s">
        <v>35</v>
      </c>
      <c r="AP26" s="31" t="s">
        <v>33</v>
      </c>
      <c r="AQ26" s="31" t="s">
        <v>34</v>
      </c>
      <c r="AR26" s="33" t="s">
        <v>35</v>
      </c>
    </row>
    <row r="27" spans="2:44" ht="57">
      <c r="B27" s="30"/>
      <c r="C27" s="34" t="s">
        <v>8</v>
      </c>
      <c r="D27" s="34" t="s">
        <v>8</v>
      </c>
      <c r="E27" s="35" t="s">
        <v>8</v>
      </c>
      <c r="F27" s="34" t="s">
        <v>9</v>
      </c>
      <c r="G27" s="34" t="s">
        <v>9</v>
      </c>
      <c r="H27" s="35" t="s">
        <v>9</v>
      </c>
      <c r="I27" s="34" t="s">
        <v>10</v>
      </c>
      <c r="J27" s="34" t="s">
        <v>10</v>
      </c>
      <c r="K27" s="35" t="s">
        <v>10</v>
      </c>
      <c r="L27" s="34" t="s">
        <v>11</v>
      </c>
      <c r="M27" s="34" t="s">
        <v>11</v>
      </c>
      <c r="N27" s="35" t="s">
        <v>11</v>
      </c>
      <c r="O27" s="34" t="s">
        <v>12</v>
      </c>
      <c r="P27" s="34" t="s">
        <v>12</v>
      </c>
      <c r="Q27" s="35" t="s">
        <v>12</v>
      </c>
      <c r="R27" s="34" t="s">
        <v>13</v>
      </c>
      <c r="S27" s="34" t="s">
        <v>13</v>
      </c>
      <c r="T27" s="35" t="s">
        <v>13</v>
      </c>
      <c r="U27" s="34" t="s">
        <v>14</v>
      </c>
      <c r="V27" s="34" t="s">
        <v>14</v>
      </c>
      <c r="W27" s="35" t="s">
        <v>14</v>
      </c>
      <c r="X27" s="34" t="s">
        <v>15</v>
      </c>
      <c r="Y27" s="34" t="s">
        <v>15</v>
      </c>
      <c r="Z27" s="35" t="s">
        <v>15</v>
      </c>
      <c r="AA27" s="34" t="s">
        <v>16</v>
      </c>
      <c r="AB27" s="34" t="s">
        <v>16</v>
      </c>
      <c r="AC27" s="35" t="s">
        <v>16</v>
      </c>
      <c r="AD27" s="34" t="s">
        <v>17</v>
      </c>
      <c r="AE27" s="34" t="s">
        <v>17</v>
      </c>
      <c r="AF27" s="35" t="s">
        <v>17</v>
      </c>
      <c r="AG27" s="34" t="s">
        <v>18</v>
      </c>
      <c r="AH27" s="34" t="s">
        <v>18</v>
      </c>
      <c r="AI27" s="35" t="s">
        <v>18</v>
      </c>
      <c r="AJ27" s="34" t="s">
        <v>19</v>
      </c>
      <c r="AK27" s="34" t="s">
        <v>19</v>
      </c>
      <c r="AL27" s="35" t="s">
        <v>19</v>
      </c>
      <c r="AM27" s="34" t="s">
        <v>20</v>
      </c>
      <c r="AN27" s="34" t="s">
        <v>20</v>
      </c>
      <c r="AO27" s="35" t="s">
        <v>20</v>
      </c>
      <c r="AP27" s="34" t="s">
        <v>21</v>
      </c>
      <c r="AQ27" s="34" t="s">
        <v>21</v>
      </c>
      <c r="AR27" s="36" t="s">
        <v>21</v>
      </c>
    </row>
    <row r="28" spans="2:44" ht="18">
      <c r="B28" s="23" t="s">
        <v>22</v>
      </c>
      <c r="C28" s="24">
        <v>135000</v>
      </c>
      <c r="D28" s="24">
        <v>130000</v>
      </c>
      <c r="E28" s="24">
        <v>160000</v>
      </c>
      <c r="F28" s="24">
        <v>150000</v>
      </c>
      <c r="G28" s="24">
        <v>140000</v>
      </c>
      <c r="H28" s="24">
        <v>150000</v>
      </c>
      <c r="I28" s="24">
        <v>115000</v>
      </c>
      <c r="J28" s="24">
        <v>140000</v>
      </c>
      <c r="K28" s="24">
        <v>160000</v>
      </c>
      <c r="L28" s="24">
        <v>57</v>
      </c>
      <c r="M28" s="24">
        <v>58</v>
      </c>
      <c r="N28" s="24">
        <v>63</v>
      </c>
      <c r="O28" s="24">
        <v>25</v>
      </c>
      <c r="P28" s="24">
        <v>20</v>
      </c>
      <c r="Q28" s="24">
        <v>25</v>
      </c>
      <c r="R28" s="24">
        <v>10</v>
      </c>
      <c r="S28" s="24">
        <v>11</v>
      </c>
      <c r="T28" s="24">
        <v>18</v>
      </c>
      <c r="U28" s="24">
        <v>9</v>
      </c>
      <c r="V28" s="24">
        <v>12</v>
      </c>
      <c r="W28" s="24">
        <v>14</v>
      </c>
      <c r="X28" s="24">
        <v>4200</v>
      </c>
      <c r="Y28" s="24">
        <v>5000</v>
      </c>
      <c r="Z28" s="24">
        <v>5500</v>
      </c>
      <c r="AA28" s="24">
        <v>420</v>
      </c>
      <c r="AB28" s="24">
        <v>454.55</v>
      </c>
      <c r="AC28" s="24">
        <v>305.56</v>
      </c>
      <c r="AD28" s="24">
        <v>350</v>
      </c>
      <c r="AE28" s="24">
        <v>350</v>
      </c>
      <c r="AF28" s="24">
        <v>350</v>
      </c>
      <c r="AG28" s="24">
        <v>400</v>
      </c>
      <c r="AH28" s="24">
        <v>385</v>
      </c>
      <c r="AI28" s="24">
        <v>390</v>
      </c>
      <c r="AJ28" s="24">
        <v>2192.98</v>
      </c>
      <c r="AK28" s="24">
        <v>2241.38</v>
      </c>
      <c r="AL28" s="24">
        <v>2539.6799999999998</v>
      </c>
      <c r="AM28" s="24">
        <v>2200</v>
      </c>
      <c r="AN28" s="24">
        <v>2100</v>
      </c>
      <c r="AO28" s="24">
        <v>2400</v>
      </c>
      <c r="AP28" s="24">
        <v>2500</v>
      </c>
      <c r="AQ28" s="24">
        <v>2600</v>
      </c>
      <c r="AR28" s="25">
        <v>2400</v>
      </c>
    </row>
    <row r="29" spans="2:44" ht="18">
      <c r="B29" s="23" t="s">
        <v>23</v>
      </c>
      <c r="C29" s="24">
        <v>170000</v>
      </c>
      <c r="D29" s="24">
        <v>160000</v>
      </c>
      <c r="E29" s="24">
        <v>185000</v>
      </c>
      <c r="F29" s="24">
        <v>150000</v>
      </c>
      <c r="G29" s="24">
        <v>140000</v>
      </c>
      <c r="H29" s="24">
        <v>150000</v>
      </c>
      <c r="I29" s="24">
        <v>160000</v>
      </c>
      <c r="J29" s="24">
        <v>130000</v>
      </c>
      <c r="K29" s="24">
        <v>125000</v>
      </c>
      <c r="L29" s="24">
        <v>74</v>
      </c>
      <c r="M29" s="24">
        <v>70</v>
      </c>
      <c r="N29" s="24">
        <v>74</v>
      </c>
      <c r="O29" s="24">
        <v>25</v>
      </c>
      <c r="P29" s="24">
        <v>20</v>
      </c>
      <c r="Q29" s="24">
        <v>25</v>
      </c>
      <c r="R29" s="24">
        <v>22</v>
      </c>
      <c r="S29" s="24">
        <v>23</v>
      </c>
      <c r="T29" s="24">
        <v>26</v>
      </c>
      <c r="U29" s="24">
        <v>17</v>
      </c>
      <c r="V29" s="24">
        <v>24</v>
      </c>
      <c r="W29" s="24">
        <v>22</v>
      </c>
      <c r="X29" s="24">
        <v>7800</v>
      </c>
      <c r="Y29" s="24">
        <v>10000</v>
      </c>
      <c r="Z29" s="24">
        <v>9000</v>
      </c>
      <c r="AA29" s="24">
        <v>354.55</v>
      </c>
      <c r="AB29" s="24">
        <v>434.78</v>
      </c>
      <c r="AC29" s="24">
        <v>346.15</v>
      </c>
      <c r="AD29" s="24">
        <v>350</v>
      </c>
      <c r="AE29" s="24">
        <v>350</v>
      </c>
      <c r="AF29" s="24">
        <v>350</v>
      </c>
      <c r="AG29" s="24">
        <v>402</v>
      </c>
      <c r="AH29" s="24">
        <v>290</v>
      </c>
      <c r="AI29" s="24">
        <v>380</v>
      </c>
      <c r="AJ29" s="24">
        <v>2432.4299999999998</v>
      </c>
      <c r="AK29" s="24">
        <v>2285.71</v>
      </c>
      <c r="AL29" s="24">
        <v>2500</v>
      </c>
      <c r="AM29" s="24">
        <v>2100</v>
      </c>
      <c r="AN29" s="24">
        <v>2200</v>
      </c>
      <c r="AO29" s="24">
        <v>2300</v>
      </c>
      <c r="AP29" s="24">
        <v>2500</v>
      </c>
      <c r="AQ29" s="24">
        <v>2600</v>
      </c>
      <c r="AR29" s="25">
        <v>2400</v>
      </c>
    </row>
    <row r="30" spans="2:44" ht="18">
      <c r="B30" s="23" t="s">
        <v>24</v>
      </c>
      <c r="C30" s="24">
        <v>175000</v>
      </c>
      <c r="D30" s="24">
        <v>135000</v>
      </c>
      <c r="E30" s="24">
        <v>145000</v>
      </c>
      <c r="F30" s="24">
        <v>150000</v>
      </c>
      <c r="G30" s="24">
        <v>140000</v>
      </c>
      <c r="H30" s="24">
        <v>150000</v>
      </c>
      <c r="I30" s="24">
        <v>170000</v>
      </c>
      <c r="J30" s="24">
        <v>145000</v>
      </c>
      <c r="K30" s="24">
        <v>130000</v>
      </c>
      <c r="L30" s="24">
        <v>70</v>
      </c>
      <c r="M30" s="24">
        <v>55</v>
      </c>
      <c r="N30" s="24">
        <v>61</v>
      </c>
      <c r="O30" s="24">
        <v>25</v>
      </c>
      <c r="P30" s="24">
        <v>20</v>
      </c>
      <c r="Q30" s="24">
        <v>25</v>
      </c>
      <c r="R30" s="24">
        <v>35</v>
      </c>
      <c r="S30" s="24">
        <v>20</v>
      </c>
      <c r="T30" s="24">
        <v>17</v>
      </c>
      <c r="U30" s="24">
        <v>36</v>
      </c>
      <c r="V30" s="24">
        <v>25</v>
      </c>
      <c r="W30" s="24">
        <v>21</v>
      </c>
      <c r="X30" s="24">
        <v>13200</v>
      </c>
      <c r="Y30" s="24">
        <v>9500</v>
      </c>
      <c r="Z30" s="24">
        <v>8300</v>
      </c>
      <c r="AA30" s="24">
        <v>377.14</v>
      </c>
      <c r="AB30" s="24">
        <v>475</v>
      </c>
      <c r="AC30" s="24">
        <v>488.24</v>
      </c>
      <c r="AD30" s="24">
        <v>350</v>
      </c>
      <c r="AE30" s="24">
        <v>350</v>
      </c>
      <c r="AF30" s="24">
        <v>350</v>
      </c>
      <c r="AG30" s="24">
        <v>350</v>
      </c>
      <c r="AH30" s="24">
        <v>385</v>
      </c>
      <c r="AI30" s="24">
        <v>352</v>
      </c>
      <c r="AJ30" s="24">
        <v>2428.5700000000002</v>
      </c>
      <c r="AK30" s="24">
        <v>2454.5500000000002</v>
      </c>
      <c r="AL30" s="24">
        <v>2377.0500000000002</v>
      </c>
      <c r="AM30" s="24">
        <v>2500</v>
      </c>
      <c r="AN30" s="24">
        <v>2500</v>
      </c>
      <c r="AO30" s="24">
        <v>2300</v>
      </c>
      <c r="AP30" s="24">
        <v>2500</v>
      </c>
      <c r="AQ30" s="24">
        <v>2600</v>
      </c>
      <c r="AR30" s="25">
        <v>2400</v>
      </c>
    </row>
    <row r="31" spans="2:44" ht="18">
      <c r="B31" s="23" t="s">
        <v>25</v>
      </c>
      <c r="C31" s="24">
        <v>156000</v>
      </c>
      <c r="D31" s="24">
        <v>175000</v>
      </c>
      <c r="E31" s="24">
        <v>155000</v>
      </c>
      <c r="F31" s="24">
        <v>150000</v>
      </c>
      <c r="G31" s="24">
        <v>140000</v>
      </c>
      <c r="H31" s="24">
        <v>150000</v>
      </c>
      <c r="I31" s="24">
        <v>165000</v>
      </c>
      <c r="J31" s="24">
        <v>155000</v>
      </c>
      <c r="K31" s="24">
        <v>140000</v>
      </c>
      <c r="L31" s="24">
        <v>66</v>
      </c>
      <c r="M31" s="24">
        <v>68</v>
      </c>
      <c r="N31" s="24">
        <v>63</v>
      </c>
      <c r="O31" s="24">
        <v>25</v>
      </c>
      <c r="P31" s="24">
        <v>20</v>
      </c>
      <c r="Q31" s="24">
        <v>25</v>
      </c>
      <c r="R31" s="24">
        <v>18</v>
      </c>
      <c r="S31" s="24">
        <v>14</v>
      </c>
      <c r="T31" s="24">
        <v>24</v>
      </c>
      <c r="U31" s="24">
        <v>14</v>
      </c>
      <c r="V31" s="24">
        <v>25</v>
      </c>
      <c r="W31" s="24">
        <v>22</v>
      </c>
      <c r="X31" s="24">
        <v>6500</v>
      </c>
      <c r="Y31" s="24">
        <v>9000</v>
      </c>
      <c r="Z31" s="24">
        <v>8500</v>
      </c>
      <c r="AA31" s="24">
        <v>361.11</v>
      </c>
      <c r="AB31" s="24">
        <v>642.86</v>
      </c>
      <c r="AC31" s="24">
        <v>354.17</v>
      </c>
      <c r="AD31" s="24">
        <v>350</v>
      </c>
      <c r="AE31" s="24">
        <v>350</v>
      </c>
      <c r="AF31" s="24">
        <v>350</v>
      </c>
      <c r="AG31" s="24">
        <v>350</v>
      </c>
      <c r="AH31" s="24">
        <v>360</v>
      </c>
      <c r="AI31" s="24">
        <v>388</v>
      </c>
      <c r="AJ31" s="24">
        <v>2272.73</v>
      </c>
      <c r="AK31" s="24">
        <v>2573.5300000000002</v>
      </c>
      <c r="AL31" s="24">
        <v>2460.3200000000002</v>
      </c>
      <c r="AM31" s="24">
        <v>2200</v>
      </c>
      <c r="AN31" s="24">
        <v>2600</v>
      </c>
      <c r="AO31" s="24">
        <v>2400</v>
      </c>
      <c r="AP31" s="24">
        <v>2500</v>
      </c>
      <c r="AQ31" s="24">
        <v>2600</v>
      </c>
      <c r="AR31" s="25">
        <v>2400</v>
      </c>
    </row>
    <row r="32" spans="2:44" ht="18">
      <c r="B32" s="23" t="s">
        <v>26</v>
      </c>
      <c r="C32" s="24">
        <v>135500</v>
      </c>
      <c r="D32" s="24">
        <v>190000</v>
      </c>
      <c r="E32" s="24">
        <v>140000</v>
      </c>
      <c r="F32" s="24">
        <v>150000</v>
      </c>
      <c r="G32" s="24">
        <v>140000</v>
      </c>
      <c r="H32" s="24">
        <v>150000</v>
      </c>
      <c r="I32" s="24">
        <v>155000</v>
      </c>
      <c r="J32" s="24">
        <v>120000</v>
      </c>
      <c r="K32" s="24">
        <v>150000</v>
      </c>
      <c r="L32" s="24">
        <v>71</v>
      </c>
      <c r="M32" s="24">
        <v>62</v>
      </c>
      <c r="N32" s="24">
        <v>51</v>
      </c>
      <c r="O32" s="24">
        <v>25</v>
      </c>
      <c r="P32" s="24">
        <v>20</v>
      </c>
      <c r="Q32" s="24">
        <v>25</v>
      </c>
      <c r="R32" s="24">
        <v>33</v>
      </c>
      <c r="S32" s="24">
        <v>20</v>
      </c>
      <c r="T32" s="24">
        <v>16</v>
      </c>
      <c r="U32" s="24">
        <v>20</v>
      </c>
      <c r="V32" s="24">
        <v>25</v>
      </c>
      <c r="W32" s="24">
        <v>24</v>
      </c>
      <c r="X32" s="24">
        <v>12100</v>
      </c>
      <c r="Y32" s="24">
        <v>10800</v>
      </c>
      <c r="Z32" s="24">
        <v>10500</v>
      </c>
      <c r="AA32" s="24">
        <v>366.67</v>
      </c>
      <c r="AB32" s="24">
        <v>540</v>
      </c>
      <c r="AC32" s="24">
        <v>656.25</v>
      </c>
      <c r="AD32" s="24">
        <v>350</v>
      </c>
      <c r="AE32" s="24">
        <v>350</v>
      </c>
      <c r="AF32" s="24">
        <v>350</v>
      </c>
      <c r="AG32" s="24">
        <v>385</v>
      </c>
      <c r="AH32" s="24">
        <v>350</v>
      </c>
      <c r="AI32" s="24">
        <v>406</v>
      </c>
      <c r="AJ32" s="24">
        <v>1901.41</v>
      </c>
      <c r="AK32" s="24">
        <v>3064.52</v>
      </c>
      <c r="AL32" s="24">
        <v>2745.1</v>
      </c>
      <c r="AM32" s="24">
        <v>2100</v>
      </c>
      <c r="AN32" s="24">
        <v>2800</v>
      </c>
      <c r="AO32" s="24">
        <v>2700</v>
      </c>
      <c r="AP32" s="24">
        <v>2500</v>
      </c>
      <c r="AQ32" s="24">
        <v>2600</v>
      </c>
      <c r="AR32" s="25">
        <v>2400</v>
      </c>
    </row>
    <row r="33" spans="2:44" ht="18">
      <c r="B33" s="26" t="s">
        <v>27</v>
      </c>
      <c r="C33" s="27">
        <f t="shared" ref="C33:AR33" si="17">SUM(C28:C32)</f>
        <v>771500</v>
      </c>
      <c r="D33" s="27">
        <f t="shared" si="17"/>
        <v>790000</v>
      </c>
      <c r="E33" s="27">
        <f t="shared" si="17"/>
        <v>785000</v>
      </c>
      <c r="F33" s="27">
        <f t="shared" si="17"/>
        <v>750000</v>
      </c>
      <c r="G33" s="27">
        <f t="shared" si="17"/>
        <v>700000</v>
      </c>
      <c r="H33" s="27">
        <f t="shared" si="17"/>
        <v>750000</v>
      </c>
      <c r="I33" s="27">
        <f t="shared" si="17"/>
        <v>765000</v>
      </c>
      <c r="J33" s="27">
        <f t="shared" si="17"/>
        <v>690000</v>
      </c>
      <c r="K33" s="27">
        <f t="shared" si="17"/>
        <v>705000</v>
      </c>
      <c r="L33" s="27">
        <f t="shared" si="17"/>
        <v>338</v>
      </c>
      <c r="M33" s="27">
        <f t="shared" si="17"/>
        <v>313</v>
      </c>
      <c r="N33" s="27">
        <f t="shared" si="17"/>
        <v>312</v>
      </c>
      <c r="O33" s="27">
        <f t="shared" si="17"/>
        <v>125</v>
      </c>
      <c r="P33" s="27">
        <f t="shared" si="17"/>
        <v>100</v>
      </c>
      <c r="Q33" s="27">
        <f t="shared" si="17"/>
        <v>125</v>
      </c>
      <c r="R33" s="27">
        <f t="shared" si="17"/>
        <v>118</v>
      </c>
      <c r="S33" s="27">
        <f t="shared" si="17"/>
        <v>88</v>
      </c>
      <c r="T33" s="27">
        <f t="shared" si="17"/>
        <v>101</v>
      </c>
      <c r="U33" s="27">
        <f t="shared" si="17"/>
        <v>96</v>
      </c>
      <c r="V33" s="27">
        <f t="shared" si="17"/>
        <v>111</v>
      </c>
      <c r="W33" s="27">
        <f t="shared" si="17"/>
        <v>103</v>
      </c>
      <c r="X33" s="27">
        <f t="shared" si="17"/>
        <v>43800</v>
      </c>
      <c r="Y33" s="27">
        <f t="shared" si="17"/>
        <v>44300</v>
      </c>
      <c r="Z33" s="27">
        <f t="shared" si="17"/>
        <v>41800</v>
      </c>
      <c r="AA33" s="27">
        <f t="shared" si="17"/>
        <v>1879.4700000000003</v>
      </c>
      <c r="AB33" s="27">
        <f t="shared" si="17"/>
        <v>2547.19</v>
      </c>
      <c r="AC33" s="27">
        <f t="shared" si="17"/>
        <v>2150.37</v>
      </c>
      <c r="AD33" s="27">
        <f t="shared" si="17"/>
        <v>1750</v>
      </c>
      <c r="AE33" s="27">
        <f t="shared" si="17"/>
        <v>1750</v>
      </c>
      <c r="AF33" s="27">
        <f t="shared" si="17"/>
        <v>1750</v>
      </c>
      <c r="AG33" s="27">
        <f t="shared" si="17"/>
        <v>1887</v>
      </c>
      <c r="AH33" s="27">
        <f t="shared" si="17"/>
        <v>1770</v>
      </c>
      <c r="AI33" s="27">
        <f t="shared" si="17"/>
        <v>1916</v>
      </c>
      <c r="AJ33" s="27">
        <f t="shared" si="17"/>
        <v>11228.119999999999</v>
      </c>
      <c r="AK33" s="27">
        <f t="shared" si="17"/>
        <v>12619.69</v>
      </c>
      <c r="AL33" s="27">
        <f t="shared" si="17"/>
        <v>12622.150000000001</v>
      </c>
      <c r="AM33" s="27">
        <f t="shared" si="17"/>
        <v>11100</v>
      </c>
      <c r="AN33" s="27">
        <f t="shared" si="17"/>
        <v>12200</v>
      </c>
      <c r="AO33" s="27">
        <f t="shared" si="17"/>
        <v>12100</v>
      </c>
      <c r="AP33" s="27">
        <f t="shared" si="17"/>
        <v>12500</v>
      </c>
      <c r="AQ33" s="27">
        <f t="shared" si="17"/>
        <v>13000</v>
      </c>
      <c r="AR33" s="28">
        <f t="shared" si="17"/>
        <v>12000</v>
      </c>
    </row>
    <row r="36" spans="2:44">
      <c r="B36" s="29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8"/>
    </row>
    <row r="37" spans="2:44" ht="22.5">
      <c r="B37" s="30"/>
      <c r="C37" s="73" t="s">
        <v>36</v>
      </c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/>
      <c r="AN37" s="74"/>
      <c r="AO37" s="74"/>
      <c r="AP37" s="74"/>
      <c r="AQ37" s="74"/>
      <c r="AR37" s="75"/>
    </row>
    <row r="38" spans="2:44">
      <c r="B38" s="30"/>
      <c r="C38" s="31" t="s">
        <v>37</v>
      </c>
      <c r="D38" s="31" t="s">
        <v>38</v>
      </c>
      <c r="E38" s="32" t="s">
        <v>39</v>
      </c>
      <c r="F38" s="31" t="s">
        <v>37</v>
      </c>
      <c r="G38" s="31" t="s">
        <v>38</v>
      </c>
      <c r="H38" s="32" t="s">
        <v>39</v>
      </c>
      <c r="I38" s="31" t="s">
        <v>37</v>
      </c>
      <c r="J38" s="31" t="s">
        <v>38</v>
      </c>
      <c r="K38" s="32" t="s">
        <v>39</v>
      </c>
      <c r="L38" s="31" t="s">
        <v>37</v>
      </c>
      <c r="M38" s="31" t="s">
        <v>38</v>
      </c>
      <c r="N38" s="32" t="s">
        <v>39</v>
      </c>
      <c r="O38" s="31" t="s">
        <v>37</v>
      </c>
      <c r="P38" s="31" t="s">
        <v>38</v>
      </c>
      <c r="Q38" s="32" t="s">
        <v>39</v>
      </c>
      <c r="R38" s="31" t="s">
        <v>37</v>
      </c>
      <c r="S38" s="31" t="s">
        <v>38</v>
      </c>
      <c r="T38" s="32" t="s">
        <v>39</v>
      </c>
      <c r="U38" s="31" t="s">
        <v>37</v>
      </c>
      <c r="V38" s="31" t="s">
        <v>38</v>
      </c>
      <c r="W38" s="32" t="s">
        <v>39</v>
      </c>
      <c r="X38" s="31" t="s">
        <v>37</v>
      </c>
      <c r="Y38" s="31" t="s">
        <v>38</v>
      </c>
      <c r="Z38" s="32" t="s">
        <v>39</v>
      </c>
      <c r="AA38" s="31" t="s">
        <v>37</v>
      </c>
      <c r="AB38" s="31" t="s">
        <v>38</v>
      </c>
      <c r="AC38" s="32" t="s">
        <v>39</v>
      </c>
      <c r="AD38" s="31" t="s">
        <v>37</v>
      </c>
      <c r="AE38" s="31" t="s">
        <v>38</v>
      </c>
      <c r="AF38" s="32" t="s">
        <v>39</v>
      </c>
      <c r="AG38" s="31" t="s">
        <v>37</v>
      </c>
      <c r="AH38" s="31" t="s">
        <v>38</v>
      </c>
      <c r="AI38" s="32" t="s">
        <v>39</v>
      </c>
      <c r="AJ38" s="31" t="s">
        <v>37</v>
      </c>
      <c r="AK38" s="31" t="s">
        <v>38</v>
      </c>
      <c r="AL38" s="32" t="s">
        <v>39</v>
      </c>
      <c r="AM38" s="31" t="s">
        <v>37</v>
      </c>
      <c r="AN38" s="31" t="s">
        <v>38</v>
      </c>
      <c r="AO38" s="32" t="s">
        <v>39</v>
      </c>
      <c r="AP38" s="31" t="s">
        <v>37</v>
      </c>
      <c r="AQ38" s="31" t="s">
        <v>38</v>
      </c>
      <c r="AR38" s="33" t="s">
        <v>39</v>
      </c>
    </row>
    <row r="39" spans="2:44" ht="57">
      <c r="B39" s="30"/>
      <c r="C39" s="34" t="s">
        <v>8</v>
      </c>
      <c r="D39" s="34" t="s">
        <v>8</v>
      </c>
      <c r="E39" s="35" t="s">
        <v>8</v>
      </c>
      <c r="F39" s="34" t="s">
        <v>9</v>
      </c>
      <c r="G39" s="34" t="s">
        <v>9</v>
      </c>
      <c r="H39" s="35" t="s">
        <v>9</v>
      </c>
      <c r="I39" s="34" t="s">
        <v>10</v>
      </c>
      <c r="J39" s="34" t="s">
        <v>10</v>
      </c>
      <c r="K39" s="35" t="s">
        <v>10</v>
      </c>
      <c r="L39" s="34" t="s">
        <v>11</v>
      </c>
      <c r="M39" s="34" t="s">
        <v>11</v>
      </c>
      <c r="N39" s="35" t="s">
        <v>11</v>
      </c>
      <c r="O39" s="34" t="s">
        <v>12</v>
      </c>
      <c r="P39" s="34" t="s">
        <v>12</v>
      </c>
      <c r="Q39" s="35" t="s">
        <v>12</v>
      </c>
      <c r="R39" s="34" t="s">
        <v>13</v>
      </c>
      <c r="S39" s="34" t="s">
        <v>13</v>
      </c>
      <c r="T39" s="35" t="s">
        <v>13</v>
      </c>
      <c r="U39" s="34" t="s">
        <v>14</v>
      </c>
      <c r="V39" s="34" t="s">
        <v>14</v>
      </c>
      <c r="W39" s="35" t="s">
        <v>14</v>
      </c>
      <c r="X39" s="34" t="s">
        <v>15</v>
      </c>
      <c r="Y39" s="34" t="s">
        <v>15</v>
      </c>
      <c r="Z39" s="35" t="s">
        <v>15</v>
      </c>
      <c r="AA39" s="34" t="s">
        <v>16</v>
      </c>
      <c r="AB39" s="34" t="s">
        <v>16</v>
      </c>
      <c r="AC39" s="35" t="s">
        <v>16</v>
      </c>
      <c r="AD39" s="34" t="s">
        <v>17</v>
      </c>
      <c r="AE39" s="34" t="s">
        <v>17</v>
      </c>
      <c r="AF39" s="35" t="s">
        <v>17</v>
      </c>
      <c r="AG39" s="34" t="s">
        <v>18</v>
      </c>
      <c r="AH39" s="34" t="s">
        <v>18</v>
      </c>
      <c r="AI39" s="35" t="s">
        <v>18</v>
      </c>
      <c r="AJ39" s="34" t="s">
        <v>19</v>
      </c>
      <c r="AK39" s="34" t="s">
        <v>19</v>
      </c>
      <c r="AL39" s="35" t="s">
        <v>19</v>
      </c>
      <c r="AM39" s="34" t="s">
        <v>20</v>
      </c>
      <c r="AN39" s="34" t="s">
        <v>20</v>
      </c>
      <c r="AO39" s="35" t="s">
        <v>20</v>
      </c>
      <c r="AP39" s="34" t="s">
        <v>21</v>
      </c>
      <c r="AQ39" s="34" t="s">
        <v>21</v>
      </c>
      <c r="AR39" s="36" t="s">
        <v>21</v>
      </c>
    </row>
    <row r="40" spans="2:44" ht="18">
      <c r="B40" s="23" t="s">
        <v>22</v>
      </c>
      <c r="C40" s="24">
        <v>130000</v>
      </c>
      <c r="D40" s="24">
        <v>135000</v>
      </c>
      <c r="E40" s="24">
        <v>150000</v>
      </c>
      <c r="F40" s="24">
        <v>150000</v>
      </c>
      <c r="G40" s="24">
        <v>160000</v>
      </c>
      <c r="H40" s="24">
        <v>140000</v>
      </c>
      <c r="I40" s="24">
        <v>125000</v>
      </c>
      <c r="J40" s="24">
        <v>160000</v>
      </c>
      <c r="K40" s="24">
        <v>135000</v>
      </c>
      <c r="L40" s="24">
        <v>58</v>
      </c>
      <c r="M40" s="24">
        <v>63</v>
      </c>
      <c r="N40" s="24">
        <v>55</v>
      </c>
      <c r="O40" s="24">
        <v>30</v>
      </c>
      <c r="P40" s="24">
        <v>30</v>
      </c>
      <c r="Q40" s="24">
        <v>25</v>
      </c>
      <c r="R40" s="24">
        <v>12</v>
      </c>
      <c r="S40" s="24">
        <v>25</v>
      </c>
      <c r="T40" s="24">
        <v>11</v>
      </c>
      <c r="U40" s="24">
        <v>11</v>
      </c>
      <c r="V40" s="24">
        <v>21</v>
      </c>
      <c r="W40" s="24">
        <v>14</v>
      </c>
      <c r="X40" s="24">
        <v>5000</v>
      </c>
      <c r="Y40" s="24">
        <v>4500</v>
      </c>
      <c r="Z40" s="24">
        <v>5000</v>
      </c>
      <c r="AA40" s="24">
        <v>416.67</v>
      </c>
      <c r="AB40" s="24">
        <v>180</v>
      </c>
      <c r="AC40" s="24">
        <v>454.55</v>
      </c>
      <c r="AD40" s="24">
        <v>400</v>
      </c>
      <c r="AE40" s="24">
        <v>350</v>
      </c>
      <c r="AF40" s="24">
        <v>350</v>
      </c>
      <c r="AG40" s="24">
        <v>400</v>
      </c>
      <c r="AH40" s="24">
        <v>385</v>
      </c>
      <c r="AI40" s="24">
        <v>390</v>
      </c>
      <c r="AJ40" s="24">
        <v>2068.9699999999998</v>
      </c>
      <c r="AK40" s="24">
        <v>2142.86</v>
      </c>
      <c r="AL40" s="24">
        <v>2727.27</v>
      </c>
      <c r="AM40" s="24">
        <v>2100</v>
      </c>
      <c r="AN40" s="24">
        <v>2000</v>
      </c>
      <c r="AO40" s="24">
        <v>2600</v>
      </c>
      <c r="AP40" s="24">
        <v>2700</v>
      </c>
      <c r="AQ40" s="24">
        <v>2500</v>
      </c>
      <c r="AR40" s="25">
        <v>2600</v>
      </c>
    </row>
    <row r="41" spans="2:44" ht="18">
      <c r="B41" s="23" t="s">
        <v>23</v>
      </c>
      <c r="C41" s="24">
        <v>175000</v>
      </c>
      <c r="D41" s="24">
        <v>155000</v>
      </c>
      <c r="E41" s="24">
        <v>190000</v>
      </c>
      <c r="F41" s="24">
        <v>150000</v>
      </c>
      <c r="G41" s="24">
        <v>160000</v>
      </c>
      <c r="H41" s="24">
        <v>140000</v>
      </c>
      <c r="I41" s="24">
        <v>145000</v>
      </c>
      <c r="J41" s="24">
        <v>125000</v>
      </c>
      <c r="K41" s="24">
        <v>125000</v>
      </c>
      <c r="L41" s="24">
        <v>70</v>
      </c>
      <c r="M41" s="24">
        <v>74</v>
      </c>
      <c r="N41" s="24">
        <v>65</v>
      </c>
      <c r="O41" s="24">
        <v>30</v>
      </c>
      <c r="P41" s="24">
        <v>30</v>
      </c>
      <c r="Q41" s="24">
        <v>25</v>
      </c>
      <c r="R41" s="24">
        <v>26</v>
      </c>
      <c r="S41" s="24">
        <v>18</v>
      </c>
      <c r="T41" s="24">
        <v>23</v>
      </c>
      <c r="U41" s="24">
        <v>17</v>
      </c>
      <c r="V41" s="24">
        <v>18</v>
      </c>
      <c r="W41" s="24">
        <v>15</v>
      </c>
      <c r="X41" s="24">
        <v>9800</v>
      </c>
      <c r="Y41" s="24">
        <v>9800</v>
      </c>
      <c r="Z41" s="24">
        <v>6500</v>
      </c>
      <c r="AA41" s="24">
        <v>376.92</v>
      </c>
      <c r="AB41" s="24">
        <v>544.44000000000005</v>
      </c>
      <c r="AC41" s="24">
        <v>282.61</v>
      </c>
      <c r="AD41" s="24">
        <v>400</v>
      </c>
      <c r="AE41" s="24">
        <v>350</v>
      </c>
      <c r="AF41" s="24">
        <v>350</v>
      </c>
      <c r="AG41" s="24">
        <v>402</v>
      </c>
      <c r="AH41" s="24">
        <v>290</v>
      </c>
      <c r="AI41" s="24">
        <v>380</v>
      </c>
      <c r="AJ41" s="24">
        <v>2500</v>
      </c>
      <c r="AK41" s="24">
        <v>2094.59</v>
      </c>
      <c r="AL41" s="24">
        <v>2923.08</v>
      </c>
      <c r="AM41" s="24">
        <v>2200</v>
      </c>
      <c r="AN41" s="24">
        <v>2000</v>
      </c>
      <c r="AO41" s="24">
        <v>2200</v>
      </c>
      <c r="AP41" s="24">
        <v>2700</v>
      </c>
      <c r="AQ41" s="24">
        <v>2500</v>
      </c>
      <c r="AR41" s="25">
        <v>2600</v>
      </c>
    </row>
    <row r="42" spans="2:44" ht="18">
      <c r="B42" s="23" t="s">
        <v>24</v>
      </c>
      <c r="C42" s="24">
        <v>180000</v>
      </c>
      <c r="D42" s="24">
        <v>145000</v>
      </c>
      <c r="E42" s="24">
        <v>155000</v>
      </c>
      <c r="F42" s="24">
        <v>150000</v>
      </c>
      <c r="G42" s="24">
        <v>160000</v>
      </c>
      <c r="H42" s="24">
        <v>140000</v>
      </c>
      <c r="I42" s="24">
        <v>155000</v>
      </c>
      <c r="J42" s="24">
        <v>130000</v>
      </c>
      <c r="K42" s="24">
        <v>125000</v>
      </c>
      <c r="L42" s="24">
        <v>55</v>
      </c>
      <c r="M42" s="24">
        <v>61</v>
      </c>
      <c r="N42" s="24">
        <v>44</v>
      </c>
      <c r="O42" s="24">
        <v>30</v>
      </c>
      <c r="P42" s="24">
        <v>30</v>
      </c>
      <c r="Q42" s="24">
        <v>25</v>
      </c>
      <c r="R42" s="24">
        <v>31</v>
      </c>
      <c r="S42" s="24">
        <v>25</v>
      </c>
      <c r="T42" s="24">
        <v>20</v>
      </c>
      <c r="U42" s="24">
        <v>25</v>
      </c>
      <c r="V42" s="24">
        <v>21</v>
      </c>
      <c r="W42" s="24">
        <v>22</v>
      </c>
      <c r="X42" s="24">
        <v>9500</v>
      </c>
      <c r="Y42" s="24">
        <v>10200</v>
      </c>
      <c r="Z42" s="24">
        <v>8000</v>
      </c>
      <c r="AA42" s="24">
        <v>306.45</v>
      </c>
      <c r="AB42" s="24">
        <v>408</v>
      </c>
      <c r="AC42" s="24">
        <v>400</v>
      </c>
      <c r="AD42" s="24">
        <v>400</v>
      </c>
      <c r="AE42" s="24">
        <v>350</v>
      </c>
      <c r="AF42" s="24">
        <v>350</v>
      </c>
      <c r="AG42" s="24">
        <v>350</v>
      </c>
      <c r="AH42" s="24">
        <v>385</v>
      </c>
      <c r="AI42" s="24">
        <v>352</v>
      </c>
      <c r="AJ42" s="24">
        <v>3272.73</v>
      </c>
      <c r="AK42" s="24">
        <v>2377.0500000000002</v>
      </c>
      <c r="AL42" s="24">
        <v>3522.73</v>
      </c>
      <c r="AM42" s="24">
        <v>3000</v>
      </c>
      <c r="AN42" s="24">
        <v>2200</v>
      </c>
      <c r="AO42" s="24">
        <v>2100</v>
      </c>
      <c r="AP42" s="24">
        <v>2700</v>
      </c>
      <c r="AQ42" s="24">
        <v>2500</v>
      </c>
      <c r="AR42" s="25">
        <v>2600</v>
      </c>
    </row>
    <row r="43" spans="2:44" ht="18">
      <c r="B43" s="23" t="s">
        <v>25</v>
      </c>
      <c r="C43" s="24">
        <v>160000</v>
      </c>
      <c r="D43" s="24">
        <v>180000</v>
      </c>
      <c r="E43" s="24">
        <v>175000</v>
      </c>
      <c r="F43" s="24">
        <v>150000</v>
      </c>
      <c r="G43" s="24">
        <v>160000</v>
      </c>
      <c r="H43" s="24">
        <v>140000</v>
      </c>
      <c r="I43" s="24">
        <v>145000</v>
      </c>
      <c r="J43" s="24">
        <v>140000</v>
      </c>
      <c r="K43" s="24">
        <v>160000</v>
      </c>
      <c r="L43" s="24">
        <v>68</v>
      </c>
      <c r="M43" s="24">
        <v>63</v>
      </c>
      <c r="N43" s="24">
        <v>50</v>
      </c>
      <c r="O43" s="24">
        <v>30</v>
      </c>
      <c r="P43" s="24">
        <v>30</v>
      </c>
      <c r="Q43" s="24">
        <v>25</v>
      </c>
      <c r="R43" s="24">
        <v>28</v>
      </c>
      <c r="S43" s="24">
        <v>15</v>
      </c>
      <c r="T43" s="24">
        <v>14</v>
      </c>
      <c r="U43" s="24">
        <v>17</v>
      </c>
      <c r="V43" s="24">
        <v>18</v>
      </c>
      <c r="W43" s="24">
        <v>21</v>
      </c>
      <c r="X43" s="24">
        <v>9000</v>
      </c>
      <c r="Y43" s="24">
        <v>5600</v>
      </c>
      <c r="Z43" s="24">
        <v>7000</v>
      </c>
      <c r="AA43" s="24">
        <v>321.43</v>
      </c>
      <c r="AB43" s="24">
        <v>373.33</v>
      </c>
      <c r="AC43" s="24">
        <v>500</v>
      </c>
      <c r="AD43" s="24">
        <v>400</v>
      </c>
      <c r="AE43" s="24">
        <v>350</v>
      </c>
      <c r="AF43" s="24">
        <v>350</v>
      </c>
      <c r="AG43" s="24">
        <v>350</v>
      </c>
      <c r="AH43" s="24">
        <v>360</v>
      </c>
      <c r="AI43" s="24">
        <v>388</v>
      </c>
      <c r="AJ43" s="24">
        <v>2352.94</v>
      </c>
      <c r="AK43" s="24">
        <v>2857.14</v>
      </c>
      <c r="AL43" s="24">
        <v>3500</v>
      </c>
      <c r="AM43" s="24">
        <v>2200</v>
      </c>
      <c r="AN43" s="24">
        <v>2450</v>
      </c>
      <c r="AO43" s="24">
        <v>3300</v>
      </c>
      <c r="AP43" s="24">
        <v>2700</v>
      </c>
      <c r="AQ43" s="24">
        <v>2500</v>
      </c>
      <c r="AR43" s="25">
        <v>2600</v>
      </c>
    </row>
    <row r="44" spans="2:44" ht="18">
      <c r="B44" s="23" t="s">
        <v>26</v>
      </c>
      <c r="C44" s="24">
        <v>205000</v>
      </c>
      <c r="D44" s="24">
        <v>195000</v>
      </c>
      <c r="E44" s="24">
        <v>125000</v>
      </c>
      <c r="F44" s="24">
        <v>150000</v>
      </c>
      <c r="G44" s="24">
        <v>160000</v>
      </c>
      <c r="H44" s="24">
        <v>140000</v>
      </c>
      <c r="I44" s="24">
        <v>125000</v>
      </c>
      <c r="J44" s="24">
        <v>150000</v>
      </c>
      <c r="K44" s="24">
        <v>145000</v>
      </c>
      <c r="L44" s="24">
        <v>62</v>
      </c>
      <c r="M44" s="24">
        <v>51</v>
      </c>
      <c r="N44" s="24">
        <v>35</v>
      </c>
      <c r="O44" s="24">
        <v>30</v>
      </c>
      <c r="P44" s="24">
        <v>30</v>
      </c>
      <c r="Q44" s="24">
        <v>25</v>
      </c>
      <c r="R44" s="24">
        <v>25</v>
      </c>
      <c r="S44" s="24">
        <v>18</v>
      </c>
      <c r="T44" s="24">
        <v>20</v>
      </c>
      <c r="U44" s="24">
        <v>20</v>
      </c>
      <c r="V44" s="24">
        <v>13</v>
      </c>
      <c r="W44" s="24">
        <v>20</v>
      </c>
      <c r="X44" s="24">
        <v>10800</v>
      </c>
      <c r="Y44" s="24">
        <v>9500</v>
      </c>
      <c r="Z44" s="24">
        <v>9000</v>
      </c>
      <c r="AA44" s="24">
        <v>432</v>
      </c>
      <c r="AB44" s="24">
        <v>527.78</v>
      </c>
      <c r="AC44" s="24">
        <v>450</v>
      </c>
      <c r="AD44" s="24">
        <v>400</v>
      </c>
      <c r="AE44" s="24">
        <v>350</v>
      </c>
      <c r="AF44" s="24">
        <v>350</v>
      </c>
      <c r="AG44" s="24">
        <v>385</v>
      </c>
      <c r="AH44" s="24">
        <v>350</v>
      </c>
      <c r="AI44" s="24">
        <v>406</v>
      </c>
      <c r="AJ44" s="24">
        <v>3306.45</v>
      </c>
      <c r="AK44" s="24">
        <v>3823.53</v>
      </c>
      <c r="AL44" s="24">
        <v>3571.43</v>
      </c>
      <c r="AM44" s="24">
        <v>2900</v>
      </c>
      <c r="AN44" s="24">
        <v>3100</v>
      </c>
      <c r="AO44" s="24">
        <v>3100</v>
      </c>
      <c r="AP44" s="24">
        <v>2700</v>
      </c>
      <c r="AQ44" s="24">
        <v>2500</v>
      </c>
      <c r="AR44" s="25">
        <v>2600</v>
      </c>
    </row>
    <row r="45" spans="2:44" ht="18">
      <c r="B45" s="26" t="s">
        <v>27</v>
      </c>
      <c r="C45" s="27">
        <f t="shared" ref="C45:AR45" si="18">SUM(C40:C44)</f>
        <v>850000</v>
      </c>
      <c r="D45" s="27">
        <f t="shared" si="18"/>
        <v>810000</v>
      </c>
      <c r="E45" s="27">
        <f t="shared" si="18"/>
        <v>795000</v>
      </c>
      <c r="F45" s="27">
        <f t="shared" si="18"/>
        <v>750000</v>
      </c>
      <c r="G45" s="27">
        <f t="shared" si="18"/>
        <v>800000</v>
      </c>
      <c r="H45" s="27">
        <f t="shared" si="18"/>
        <v>700000</v>
      </c>
      <c r="I45" s="27">
        <f t="shared" si="18"/>
        <v>695000</v>
      </c>
      <c r="J45" s="27">
        <f t="shared" si="18"/>
        <v>705000</v>
      </c>
      <c r="K45" s="27">
        <f t="shared" si="18"/>
        <v>690000</v>
      </c>
      <c r="L45" s="27">
        <f t="shared" si="18"/>
        <v>313</v>
      </c>
      <c r="M45" s="27">
        <f t="shared" si="18"/>
        <v>312</v>
      </c>
      <c r="N45" s="27">
        <f t="shared" si="18"/>
        <v>249</v>
      </c>
      <c r="O45" s="27">
        <f t="shared" si="18"/>
        <v>150</v>
      </c>
      <c r="P45" s="27">
        <f t="shared" si="18"/>
        <v>150</v>
      </c>
      <c r="Q45" s="27">
        <f t="shared" si="18"/>
        <v>125</v>
      </c>
      <c r="R45" s="27">
        <f t="shared" si="18"/>
        <v>122</v>
      </c>
      <c r="S45" s="27">
        <f t="shared" si="18"/>
        <v>101</v>
      </c>
      <c r="T45" s="27">
        <f t="shared" si="18"/>
        <v>88</v>
      </c>
      <c r="U45" s="27">
        <f t="shared" si="18"/>
        <v>90</v>
      </c>
      <c r="V45" s="27">
        <f t="shared" si="18"/>
        <v>91</v>
      </c>
      <c r="W45" s="27">
        <f t="shared" si="18"/>
        <v>92</v>
      </c>
      <c r="X45" s="27">
        <f t="shared" si="18"/>
        <v>44100</v>
      </c>
      <c r="Y45" s="27">
        <f t="shared" si="18"/>
        <v>39600</v>
      </c>
      <c r="Z45" s="27">
        <f t="shared" si="18"/>
        <v>35500</v>
      </c>
      <c r="AA45" s="27">
        <f t="shared" si="18"/>
        <v>1853.47</v>
      </c>
      <c r="AB45" s="27">
        <f t="shared" si="18"/>
        <v>2033.55</v>
      </c>
      <c r="AC45" s="27">
        <f t="shared" si="18"/>
        <v>2087.16</v>
      </c>
      <c r="AD45" s="27">
        <f t="shared" si="18"/>
        <v>2000</v>
      </c>
      <c r="AE45" s="27">
        <f t="shared" si="18"/>
        <v>1750</v>
      </c>
      <c r="AF45" s="27">
        <f t="shared" si="18"/>
        <v>1750</v>
      </c>
      <c r="AG45" s="27">
        <f t="shared" si="18"/>
        <v>1887</v>
      </c>
      <c r="AH45" s="27">
        <f t="shared" si="18"/>
        <v>1770</v>
      </c>
      <c r="AI45" s="27">
        <f t="shared" si="18"/>
        <v>1916</v>
      </c>
      <c r="AJ45" s="27">
        <f t="shared" si="18"/>
        <v>13501.09</v>
      </c>
      <c r="AK45" s="27">
        <f t="shared" si="18"/>
        <v>13295.170000000002</v>
      </c>
      <c r="AL45" s="27">
        <f t="shared" si="18"/>
        <v>16244.51</v>
      </c>
      <c r="AM45" s="27">
        <f t="shared" si="18"/>
        <v>12400</v>
      </c>
      <c r="AN45" s="27">
        <f t="shared" si="18"/>
        <v>11750</v>
      </c>
      <c r="AO45" s="27">
        <f t="shared" si="18"/>
        <v>13300</v>
      </c>
      <c r="AP45" s="27">
        <f t="shared" si="18"/>
        <v>13500</v>
      </c>
      <c r="AQ45" s="27">
        <f t="shared" si="18"/>
        <v>12500</v>
      </c>
      <c r="AR45" s="28">
        <f t="shared" si="18"/>
        <v>13000</v>
      </c>
    </row>
    <row r="48" spans="2:44">
      <c r="B48" s="29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8"/>
    </row>
    <row r="49" spans="2:44" ht="22.5">
      <c r="B49" s="30"/>
      <c r="C49" s="73" t="s">
        <v>40</v>
      </c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  <c r="AJ49" s="74"/>
      <c r="AK49" s="74"/>
      <c r="AL49" s="74"/>
      <c r="AM49" s="74"/>
      <c r="AN49" s="74"/>
      <c r="AO49" s="74"/>
      <c r="AP49" s="74"/>
      <c r="AQ49" s="74"/>
      <c r="AR49" s="75"/>
    </row>
    <row r="50" spans="2:44">
      <c r="B50" s="30"/>
      <c r="C50" s="31" t="s">
        <v>41</v>
      </c>
      <c r="D50" s="31" t="s">
        <v>42</v>
      </c>
      <c r="E50" s="32" t="s">
        <v>43</v>
      </c>
      <c r="F50" s="31" t="s">
        <v>41</v>
      </c>
      <c r="G50" s="31" t="s">
        <v>42</v>
      </c>
      <c r="H50" s="32" t="s">
        <v>43</v>
      </c>
      <c r="I50" s="31" t="s">
        <v>41</v>
      </c>
      <c r="J50" s="31" t="s">
        <v>42</v>
      </c>
      <c r="K50" s="32" t="s">
        <v>43</v>
      </c>
      <c r="L50" s="31" t="s">
        <v>41</v>
      </c>
      <c r="M50" s="31" t="s">
        <v>42</v>
      </c>
      <c r="N50" s="32" t="s">
        <v>43</v>
      </c>
      <c r="O50" s="31" t="s">
        <v>41</v>
      </c>
      <c r="P50" s="31" t="s">
        <v>42</v>
      </c>
      <c r="Q50" s="32" t="s">
        <v>43</v>
      </c>
      <c r="R50" s="31" t="s">
        <v>41</v>
      </c>
      <c r="S50" s="31" t="s">
        <v>42</v>
      </c>
      <c r="T50" s="32" t="s">
        <v>43</v>
      </c>
      <c r="U50" s="31" t="s">
        <v>41</v>
      </c>
      <c r="V50" s="31" t="s">
        <v>42</v>
      </c>
      <c r="W50" s="32" t="s">
        <v>43</v>
      </c>
      <c r="X50" s="31" t="s">
        <v>41</v>
      </c>
      <c r="Y50" s="31" t="s">
        <v>42</v>
      </c>
      <c r="Z50" s="32" t="s">
        <v>43</v>
      </c>
      <c r="AA50" s="31" t="s">
        <v>41</v>
      </c>
      <c r="AB50" s="31" t="s">
        <v>42</v>
      </c>
      <c r="AC50" s="32" t="s">
        <v>43</v>
      </c>
      <c r="AD50" s="31" t="s">
        <v>41</v>
      </c>
      <c r="AE50" s="31" t="s">
        <v>42</v>
      </c>
      <c r="AF50" s="32" t="s">
        <v>43</v>
      </c>
      <c r="AG50" s="31" t="s">
        <v>41</v>
      </c>
      <c r="AH50" s="31" t="s">
        <v>42</v>
      </c>
      <c r="AI50" s="32" t="s">
        <v>43</v>
      </c>
      <c r="AJ50" s="31" t="s">
        <v>41</v>
      </c>
      <c r="AK50" s="31" t="s">
        <v>42</v>
      </c>
      <c r="AL50" s="32" t="s">
        <v>43</v>
      </c>
      <c r="AM50" s="31" t="s">
        <v>41</v>
      </c>
      <c r="AN50" s="31" t="s">
        <v>42</v>
      </c>
      <c r="AO50" s="32" t="s">
        <v>43</v>
      </c>
      <c r="AP50" s="31" t="s">
        <v>41</v>
      </c>
      <c r="AQ50" s="31" t="s">
        <v>42</v>
      </c>
      <c r="AR50" s="33" t="s">
        <v>43</v>
      </c>
    </row>
    <row r="51" spans="2:44" ht="57">
      <c r="B51" s="30"/>
      <c r="C51" s="34" t="s">
        <v>8</v>
      </c>
      <c r="D51" s="34" t="s">
        <v>8</v>
      </c>
      <c r="E51" s="35" t="s">
        <v>8</v>
      </c>
      <c r="F51" s="34" t="s">
        <v>9</v>
      </c>
      <c r="G51" s="34" t="s">
        <v>9</v>
      </c>
      <c r="H51" s="35" t="s">
        <v>9</v>
      </c>
      <c r="I51" s="34" t="s">
        <v>10</v>
      </c>
      <c r="J51" s="34" t="s">
        <v>10</v>
      </c>
      <c r="K51" s="35" t="s">
        <v>10</v>
      </c>
      <c r="L51" s="34" t="s">
        <v>11</v>
      </c>
      <c r="M51" s="34" t="s">
        <v>11</v>
      </c>
      <c r="N51" s="35" t="s">
        <v>11</v>
      </c>
      <c r="O51" s="34" t="s">
        <v>12</v>
      </c>
      <c r="P51" s="34" t="s">
        <v>12</v>
      </c>
      <c r="Q51" s="35" t="s">
        <v>12</v>
      </c>
      <c r="R51" s="34" t="s">
        <v>13</v>
      </c>
      <c r="S51" s="34" t="s">
        <v>13</v>
      </c>
      <c r="T51" s="35" t="s">
        <v>13</v>
      </c>
      <c r="U51" s="34" t="s">
        <v>14</v>
      </c>
      <c r="V51" s="34" t="s">
        <v>14</v>
      </c>
      <c r="W51" s="35" t="s">
        <v>14</v>
      </c>
      <c r="X51" s="34" t="s">
        <v>15</v>
      </c>
      <c r="Y51" s="34" t="s">
        <v>15</v>
      </c>
      <c r="Z51" s="35" t="s">
        <v>15</v>
      </c>
      <c r="AA51" s="34" t="s">
        <v>16</v>
      </c>
      <c r="AB51" s="34" t="s">
        <v>16</v>
      </c>
      <c r="AC51" s="35" t="s">
        <v>16</v>
      </c>
      <c r="AD51" s="34" t="s">
        <v>17</v>
      </c>
      <c r="AE51" s="34" t="s">
        <v>17</v>
      </c>
      <c r="AF51" s="35" t="s">
        <v>17</v>
      </c>
      <c r="AG51" s="34" t="s">
        <v>18</v>
      </c>
      <c r="AH51" s="34" t="s">
        <v>18</v>
      </c>
      <c r="AI51" s="35" t="s">
        <v>18</v>
      </c>
      <c r="AJ51" s="34" t="s">
        <v>19</v>
      </c>
      <c r="AK51" s="34" t="s">
        <v>19</v>
      </c>
      <c r="AL51" s="35" t="s">
        <v>19</v>
      </c>
      <c r="AM51" s="34" t="s">
        <v>20</v>
      </c>
      <c r="AN51" s="34" t="s">
        <v>20</v>
      </c>
      <c r="AO51" s="35" t="s">
        <v>20</v>
      </c>
      <c r="AP51" s="34" t="s">
        <v>21</v>
      </c>
      <c r="AQ51" s="34" t="s">
        <v>21</v>
      </c>
      <c r="AR51" s="36" t="s">
        <v>21</v>
      </c>
    </row>
    <row r="52" spans="2:44" ht="18">
      <c r="B52" s="23" t="s">
        <v>22</v>
      </c>
      <c r="C52" s="24">
        <v>150000</v>
      </c>
      <c r="D52" s="24">
        <v>145000</v>
      </c>
      <c r="E52" s="24">
        <v>145000</v>
      </c>
      <c r="F52" s="24">
        <v>160000</v>
      </c>
      <c r="G52" s="24">
        <v>145000</v>
      </c>
      <c r="H52" s="24">
        <v>160000</v>
      </c>
      <c r="I52" s="24">
        <v>160000</v>
      </c>
      <c r="J52" s="24">
        <v>125000</v>
      </c>
      <c r="K52" s="24">
        <v>145000</v>
      </c>
      <c r="L52" s="24">
        <v>55</v>
      </c>
      <c r="M52" s="24">
        <v>55</v>
      </c>
      <c r="N52" s="24">
        <v>60</v>
      </c>
      <c r="O52" s="24">
        <v>20</v>
      </c>
      <c r="P52" s="24">
        <v>25</v>
      </c>
      <c r="Q52" s="24">
        <v>35</v>
      </c>
      <c r="R52" s="24">
        <v>14</v>
      </c>
      <c r="S52" s="24">
        <v>18</v>
      </c>
      <c r="T52" s="24">
        <v>17</v>
      </c>
      <c r="U52" s="24">
        <v>21</v>
      </c>
      <c r="V52" s="24">
        <v>15</v>
      </c>
      <c r="W52" s="24">
        <v>11</v>
      </c>
      <c r="X52" s="24">
        <v>8000</v>
      </c>
      <c r="Y52" s="24">
        <v>6000</v>
      </c>
      <c r="Z52" s="24">
        <v>4000</v>
      </c>
      <c r="AA52" s="24">
        <v>571.42999999999995</v>
      </c>
      <c r="AB52" s="24">
        <v>333.33</v>
      </c>
      <c r="AC52" s="24">
        <v>235.29</v>
      </c>
      <c r="AD52" s="24">
        <v>350</v>
      </c>
      <c r="AE52" s="24">
        <v>450</v>
      </c>
      <c r="AF52" s="24">
        <v>350</v>
      </c>
      <c r="AG52" s="24">
        <v>400</v>
      </c>
      <c r="AH52" s="24">
        <v>385</v>
      </c>
      <c r="AI52" s="24">
        <v>390</v>
      </c>
      <c r="AJ52" s="24">
        <v>2909.09</v>
      </c>
      <c r="AK52" s="24">
        <v>2636.36</v>
      </c>
      <c r="AL52" s="24">
        <v>2416.67</v>
      </c>
      <c r="AM52" s="24">
        <v>2800</v>
      </c>
      <c r="AN52" s="24">
        <v>2500</v>
      </c>
      <c r="AO52" s="24">
        <v>2300</v>
      </c>
      <c r="AP52" s="24">
        <v>2200</v>
      </c>
      <c r="AQ52" s="24">
        <v>2300</v>
      </c>
      <c r="AR52" s="25">
        <v>2500</v>
      </c>
    </row>
    <row r="53" spans="2:44" ht="18">
      <c r="B53" s="23" t="s">
        <v>23</v>
      </c>
      <c r="C53" s="24">
        <v>185000</v>
      </c>
      <c r="D53" s="24">
        <v>150000</v>
      </c>
      <c r="E53" s="24">
        <v>185000</v>
      </c>
      <c r="F53" s="24">
        <v>160000</v>
      </c>
      <c r="G53" s="24">
        <v>145000</v>
      </c>
      <c r="H53" s="24">
        <v>160000</v>
      </c>
      <c r="I53" s="24">
        <v>125000</v>
      </c>
      <c r="J53" s="24">
        <v>130000</v>
      </c>
      <c r="K53" s="24">
        <v>120000</v>
      </c>
      <c r="L53" s="24">
        <v>56</v>
      </c>
      <c r="M53" s="24">
        <v>45</v>
      </c>
      <c r="N53" s="24">
        <v>65</v>
      </c>
      <c r="O53" s="24">
        <v>20</v>
      </c>
      <c r="P53" s="24">
        <v>25</v>
      </c>
      <c r="Q53" s="24">
        <v>35</v>
      </c>
      <c r="R53" s="24">
        <v>15</v>
      </c>
      <c r="S53" s="24">
        <v>25</v>
      </c>
      <c r="T53" s="24">
        <v>25</v>
      </c>
      <c r="U53" s="24">
        <v>14</v>
      </c>
      <c r="V53" s="24">
        <v>22</v>
      </c>
      <c r="W53" s="24">
        <v>12</v>
      </c>
      <c r="X53" s="24">
        <v>5500</v>
      </c>
      <c r="Y53" s="24">
        <v>8500</v>
      </c>
      <c r="Z53" s="24">
        <v>5000</v>
      </c>
      <c r="AA53" s="24">
        <v>366.67</v>
      </c>
      <c r="AB53" s="24">
        <v>340</v>
      </c>
      <c r="AC53" s="24">
        <v>200</v>
      </c>
      <c r="AD53" s="24">
        <v>350</v>
      </c>
      <c r="AE53" s="24">
        <v>450</v>
      </c>
      <c r="AF53" s="24">
        <v>350</v>
      </c>
      <c r="AG53" s="24">
        <v>380</v>
      </c>
      <c r="AH53" s="24">
        <v>400</v>
      </c>
      <c r="AI53" s="24">
        <v>388</v>
      </c>
      <c r="AJ53" s="24">
        <v>3303.57</v>
      </c>
      <c r="AK53" s="24">
        <v>3333.33</v>
      </c>
      <c r="AL53" s="24">
        <v>2846.15</v>
      </c>
      <c r="AM53" s="24">
        <v>2500</v>
      </c>
      <c r="AN53" s="24">
        <v>3000</v>
      </c>
      <c r="AO53" s="24">
        <v>2000</v>
      </c>
      <c r="AP53" s="24">
        <v>2200</v>
      </c>
      <c r="AQ53" s="24">
        <v>2300</v>
      </c>
      <c r="AR53" s="25">
        <v>2500</v>
      </c>
    </row>
    <row r="54" spans="2:44" ht="18">
      <c r="B54" s="23" t="s">
        <v>24</v>
      </c>
      <c r="C54" s="24">
        <v>150000</v>
      </c>
      <c r="D54" s="24">
        <v>125000</v>
      </c>
      <c r="E54" s="24">
        <v>120000</v>
      </c>
      <c r="F54" s="24">
        <v>160000</v>
      </c>
      <c r="G54" s="24">
        <v>145000</v>
      </c>
      <c r="H54" s="24">
        <v>160000</v>
      </c>
      <c r="I54" s="24">
        <v>130000</v>
      </c>
      <c r="J54" s="24">
        <v>150000</v>
      </c>
      <c r="K54" s="24">
        <v>125000</v>
      </c>
      <c r="L54" s="24">
        <v>56</v>
      </c>
      <c r="M54" s="24">
        <v>65</v>
      </c>
      <c r="N54" s="24">
        <v>50</v>
      </c>
      <c r="O54" s="24">
        <v>20</v>
      </c>
      <c r="P54" s="24">
        <v>25</v>
      </c>
      <c r="Q54" s="24">
        <v>35</v>
      </c>
      <c r="R54" s="24">
        <v>22</v>
      </c>
      <c r="S54" s="24">
        <v>17</v>
      </c>
      <c r="T54" s="24">
        <v>17</v>
      </c>
      <c r="U54" s="24">
        <v>25</v>
      </c>
      <c r="V54" s="24">
        <v>17</v>
      </c>
      <c r="W54" s="24">
        <v>21</v>
      </c>
      <c r="X54" s="24">
        <v>9000</v>
      </c>
      <c r="Y54" s="24">
        <v>6500</v>
      </c>
      <c r="Z54" s="24">
        <v>6500</v>
      </c>
      <c r="AA54" s="24">
        <v>409.09</v>
      </c>
      <c r="AB54" s="24">
        <v>382.35</v>
      </c>
      <c r="AC54" s="24">
        <v>382.35</v>
      </c>
      <c r="AD54" s="24">
        <v>350</v>
      </c>
      <c r="AE54" s="24">
        <v>450</v>
      </c>
      <c r="AF54" s="24">
        <v>350</v>
      </c>
      <c r="AG54" s="24">
        <v>365</v>
      </c>
      <c r="AH54" s="24">
        <v>350</v>
      </c>
      <c r="AI54" s="24">
        <v>352</v>
      </c>
      <c r="AJ54" s="24">
        <v>2678.57</v>
      </c>
      <c r="AK54" s="24">
        <v>1923.08</v>
      </c>
      <c r="AL54" s="24">
        <v>2400</v>
      </c>
      <c r="AM54" s="24">
        <v>2600</v>
      </c>
      <c r="AN54" s="24">
        <v>1800</v>
      </c>
      <c r="AO54" s="24">
        <v>2200</v>
      </c>
      <c r="AP54" s="24">
        <v>2200</v>
      </c>
      <c r="AQ54" s="24">
        <v>2300</v>
      </c>
      <c r="AR54" s="25">
        <v>2500</v>
      </c>
    </row>
    <row r="55" spans="2:44" ht="18">
      <c r="B55" s="23" t="s">
        <v>25</v>
      </c>
      <c r="C55" s="24">
        <v>155000</v>
      </c>
      <c r="D55" s="24">
        <v>155000</v>
      </c>
      <c r="E55" s="24">
        <v>155000</v>
      </c>
      <c r="F55" s="24">
        <v>160000</v>
      </c>
      <c r="G55" s="24">
        <v>145000</v>
      </c>
      <c r="H55" s="24">
        <v>160000</v>
      </c>
      <c r="I55" s="24">
        <v>150000</v>
      </c>
      <c r="J55" s="24">
        <v>155000</v>
      </c>
      <c r="K55" s="24">
        <v>160000</v>
      </c>
      <c r="L55" s="24">
        <v>62</v>
      </c>
      <c r="M55" s="24">
        <v>52</v>
      </c>
      <c r="N55" s="24">
        <v>52</v>
      </c>
      <c r="O55" s="24">
        <v>20</v>
      </c>
      <c r="P55" s="24">
        <v>25</v>
      </c>
      <c r="Q55" s="24">
        <v>35</v>
      </c>
      <c r="R55" s="24">
        <v>21</v>
      </c>
      <c r="S55" s="24">
        <v>24</v>
      </c>
      <c r="T55" s="24">
        <v>22</v>
      </c>
      <c r="U55" s="24">
        <v>17</v>
      </c>
      <c r="V55" s="24">
        <v>16</v>
      </c>
      <c r="W55" s="24">
        <v>23</v>
      </c>
      <c r="X55" s="24">
        <v>6200</v>
      </c>
      <c r="Y55" s="24">
        <v>6300</v>
      </c>
      <c r="Z55" s="24">
        <v>9000</v>
      </c>
      <c r="AA55" s="24">
        <v>295.24</v>
      </c>
      <c r="AB55" s="24">
        <v>262.5</v>
      </c>
      <c r="AC55" s="24">
        <v>409.09</v>
      </c>
      <c r="AD55" s="24">
        <v>350</v>
      </c>
      <c r="AE55" s="24">
        <v>450</v>
      </c>
      <c r="AF55" s="24">
        <v>350</v>
      </c>
      <c r="AG55" s="24">
        <v>405</v>
      </c>
      <c r="AH55" s="24">
        <v>370</v>
      </c>
      <c r="AI55" s="24">
        <v>350</v>
      </c>
      <c r="AJ55" s="24">
        <v>2500</v>
      </c>
      <c r="AK55" s="24">
        <v>2980.77</v>
      </c>
      <c r="AL55" s="24">
        <v>2980.77</v>
      </c>
      <c r="AM55" s="24">
        <v>2400</v>
      </c>
      <c r="AN55" s="24">
        <v>2800</v>
      </c>
      <c r="AO55" s="24">
        <v>2890</v>
      </c>
      <c r="AP55" s="24">
        <v>2200</v>
      </c>
      <c r="AQ55" s="24">
        <v>2300</v>
      </c>
      <c r="AR55" s="25">
        <v>2500</v>
      </c>
    </row>
    <row r="56" spans="2:44" ht="18">
      <c r="B56" s="23" t="s">
        <v>26</v>
      </c>
      <c r="C56" s="24">
        <v>140000</v>
      </c>
      <c r="D56" s="24">
        <v>170000</v>
      </c>
      <c r="E56" s="24">
        <v>155000</v>
      </c>
      <c r="F56" s="24">
        <v>160000</v>
      </c>
      <c r="G56" s="24">
        <v>145000</v>
      </c>
      <c r="H56" s="24">
        <v>160000</v>
      </c>
      <c r="I56" s="24">
        <v>150000</v>
      </c>
      <c r="J56" s="24">
        <v>180000</v>
      </c>
      <c r="K56" s="24">
        <v>140000</v>
      </c>
      <c r="L56" s="24">
        <v>65</v>
      </c>
      <c r="M56" s="24">
        <v>50</v>
      </c>
      <c r="N56" s="24">
        <v>70</v>
      </c>
      <c r="O56" s="24">
        <v>20</v>
      </c>
      <c r="P56" s="24">
        <v>25</v>
      </c>
      <c r="Q56" s="24">
        <v>35</v>
      </c>
      <c r="R56" s="24">
        <v>30</v>
      </c>
      <c r="S56" s="24">
        <v>16</v>
      </c>
      <c r="T56" s="24">
        <v>18</v>
      </c>
      <c r="U56" s="24">
        <v>25</v>
      </c>
      <c r="V56" s="24">
        <v>21</v>
      </c>
      <c r="W56" s="24">
        <v>20</v>
      </c>
      <c r="X56" s="24">
        <v>9800</v>
      </c>
      <c r="Y56" s="24">
        <v>8000</v>
      </c>
      <c r="Z56" s="24">
        <v>7500</v>
      </c>
      <c r="AA56" s="24">
        <v>326.67</v>
      </c>
      <c r="AB56" s="24">
        <v>500</v>
      </c>
      <c r="AC56" s="24">
        <v>416.67</v>
      </c>
      <c r="AD56" s="24">
        <v>350</v>
      </c>
      <c r="AE56" s="24">
        <v>450</v>
      </c>
      <c r="AF56" s="24">
        <v>350</v>
      </c>
      <c r="AG56" s="24">
        <v>385</v>
      </c>
      <c r="AH56" s="24">
        <v>350</v>
      </c>
      <c r="AI56" s="24">
        <v>410</v>
      </c>
      <c r="AJ56" s="24">
        <v>2153.85</v>
      </c>
      <c r="AK56" s="24">
        <v>3400</v>
      </c>
      <c r="AL56" s="24">
        <v>2214.29</v>
      </c>
      <c r="AM56" s="24">
        <v>1900</v>
      </c>
      <c r="AN56" s="24">
        <v>3000</v>
      </c>
      <c r="AO56" s="24">
        <v>2100</v>
      </c>
      <c r="AP56" s="24">
        <v>2200</v>
      </c>
      <c r="AQ56" s="24">
        <v>2300</v>
      </c>
      <c r="AR56" s="25">
        <v>2500</v>
      </c>
    </row>
    <row r="57" spans="2:44" ht="18">
      <c r="B57" s="26" t="s">
        <v>27</v>
      </c>
      <c r="C57" s="27">
        <f t="shared" ref="C57:AR57" si="19">SUM(C52:C56)</f>
        <v>780000</v>
      </c>
      <c r="D57" s="27">
        <f t="shared" si="19"/>
        <v>745000</v>
      </c>
      <c r="E57" s="27">
        <f t="shared" si="19"/>
        <v>760000</v>
      </c>
      <c r="F57" s="27">
        <f t="shared" si="19"/>
        <v>800000</v>
      </c>
      <c r="G57" s="27">
        <f t="shared" si="19"/>
        <v>725000</v>
      </c>
      <c r="H57" s="27">
        <f t="shared" si="19"/>
        <v>800000</v>
      </c>
      <c r="I57" s="27">
        <f t="shared" si="19"/>
        <v>715000</v>
      </c>
      <c r="J57" s="27">
        <f t="shared" si="19"/>
        <v>740000</v>
      </c>
      <c r="K57" s="27">
        <f t="shared" si="19"/>
        <v>690000</v>
      </c>
      <c r="L57" s="27">
        <f t="shared" si="19"/>
        <v>294</v>
      </c>
      <c r="M57" s="27">
        <f t="shared" si="19"/>
        <v>267</v>
      </c>
      <c r="N57" s="27">
        <f t="shared" si="19"/>
        <v>297</v>
      </c>
      <c r="O57" s="27">
        <f t="shared" si="19"/>
        <v>100</v>
      </c>
      <c r="P57" s="27">
        <f t="shared" si="19"/>
        <v>125</v>
      </c>
      <c r="Q57" s="27">
        <f t="shared" si="19"/>
        <v>175</v>
      </c>
      <c r="R57" s="27">
        <f t="shared" si="19"/>
        <v>102</v>
      </c>
      <c r="S57" s="27">
        <f t="shared" si="19"/>
        <v>100</v>
      </c>
      <c r="T57" s="27">
        <f t="shared" si="19"/>
        <v>99</v>
      </c>
      <c r="U57" s="27">
        <f t="shared" si="19"/>
        <v>102</v>
      </c>
      <c r="V57" s="27">
        <f t="shared" si="19"/>
        <v>91</v>
      </c>
      <c r="W57" s="27">
        <f t="shared" si="19"/>
        <v>87</v>
      </c>
      <c r="X57" s="27">
        <f t="shared" si="19"/>
        <v>38500</v>
      </c>
      <c r="Y57" s="27">
        <f t="shared" si="19"/>
        <v>35300</v>
      </c>
      <c r="Z57" s="27">
        <f t="shared" si="19"/>
        <v>32000</v>
      </c>
      <c r="AA57" s="27">
        <f t="shared" si="19"/>
        <v>1969.1</v>
      </c>
      <c r="AB57" s="27">
        <f t="shared" si="19"/>
        <v>1818.1799999999998</v>
      </c>
      <c r="AC57" s="27">
        <f t="shared" si="19"/>
        <v>1643.4</v>
      </c>
      <c r="AD57" s="27">
        <f t="shared" si="19"/>
        <v>1750</v>
      </c>
      <c r="AE57" s="27">
        <f t="shared" si="19"/>
        <v>2250</v>
      </c>
      <c r="AF57" s="27">
        <f t="shared" si="19"/>
        <v>1750</v>
      </c>
      <c r="AG57" s="27">
        <f t="shared" si="19"/>
        <v>1935</v>
      </c>
      <c r="AH57" s="27">
        <f t="shared" si="19"/>
        <v>1855</v>
      </c>
      <c r="AI57" s="27">
        <f t="shared" si="19"/>
        <v>1890</v>
      </c>
      <c r="AJ57" s="27">
        <f t="shared" si="19"/>
        <v>13545.08</v>
      </c>
      <c r="AK57" s="27">
        <f t="shared" si="19"/>
        <v>14273.54</v>
      </c>
      <c r="AL57" s="27">
        <f t="shared" si="19"/>
        <v>12857.880000000001</v>
      </c>
      <c r="AM57" s="27">
        <f t="shared" si="19"/>
        <v>12200</v>
      </c>
      <c r="AN57" s="27">
        <f t="shared" si="19"/>
        <v>13100</v>
      </c>
      <c r="AO57" s="27">
        <f t="shared" si="19"/>
        <v>11490</v>
      </c>
      <c r="AP57" s="27">
        <f t="shared" si="19"/>
        <v>11000</v>
      </c>
      <c r="AQ57" s="27">
        <f t="shared" si="19"/>
        <v>11500</v>
      </c>
      <c r="AR57" s="28">
        <f t="shared" si="19"/>
        <v>12500</v>
      </c>
    </row>
    <row r="60" spans="2:44">
      <c r="B60" s="29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8"/>
    </row>
    <row r="61" spans="2:44" ht="22.5">
      <c r="B61" s="30"/>
      <c r="C61" s="73" t="s">
        <v>44</v>
      </c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  <c r="AC61" s="74"/>
      <c r="AD61" s="74"/>
      <c r="AE61" s="74"/>
      <c r="AF61" s="74"/>
      <c r="AG61" s="74"/>
      <c r="AH61" s="74"/>
      <c r="AI61" s="74"/>
      <c r="AJ61" s="74"/>
      <c r="AK61" s="74"/>
      <c r="AL61" s="74"/>
      <c r="AM61" s="74"/>
      <c r="AN61" s="74"/>
      <c r="AO61" s="74"/>
      <c r="AP61" s="74"/>
      <c r="AQ61" s="74"/>
      <c r="AR61" s="75"/>
    </row>
    <row r="62" spans="2:44">
      <c r="B62" s="30"/>
      <c r="C62" s="31" t="s">
        <v>5</v>
      </c>
      <c r="D62" s="31" t="s">
        <v>6</v>
      </c>
      <c r="E62" s="32" t="s">
        <v>7</v>
      </c>
      <c r="F62" s="31" t="s">
        <v>5</v>
      </c>
      <c r="G62" s="31" t="s">
        <v>6</v>
      </c>
      <c r="H62" s="32" t="s">
        <v>7</v>
      </c>
      <c r="I62" s="31" t="s">
        <v>5</v>
      </c>
      <c r="J62" s="31" t="s">
        <v>6</v>
      </c>
      <c r="K62" s="32" t="s">
        <v>7</v>
      </c>
      <c r="L62" s="31" t="s">
        <v>5</v>
      </c>
      <c r="M62" s="31" t="s">
        <v>6</v>
      </c>
      <c r="N62" s="32" t="s">
        <v>7</v>
      </c>
      <c r="O62" s="31" t="s">
        <v>5</v>
      </c>
      <c r="P62" s="31" t="s">
        <v>6</v>
      </c>
      <c r="Q62" s="32" t="s">
        <v>7</v>
      </c>
      <c r="R62" s="31" t="s">
        <v>5</v>
      </c>
      <c r="S62" s="31" t="s">
        <v>6</v>
      </c>
      <c r="T62" s="32" t="s">
        <v>7</v>
      </c>
      <c r="U62" s="31" t="s">
        <v>5</v>
      </c>
      <c r="V62" s="31" t="s">
        <v>6</v>
      </c>
      <c r="W62" s="32" t="s">
        <v>7</v>
      </c>
      <c r="X62" s="31" t="s">
        <v>5</v>
      </c>
      <c r="Y62" s="31" t="s">
        <v>6</v>
      </c>
      <c r="Z62" s="32" t="s">
        <v>7</v>
      </c>
      <c r="AA62" s="31" t="s">
        <v>5</v>
      </c>
      <c r="AB62" s="31" t="s">
        <v>6</v>
      </c>
      <c r="AC62" s="32" t="s">
        <v>7</v>
      </c>
      <c r="AD62" s="31" t="s">
        <v>5</v>
      </c>
      <c r="AE62" s="31" t="s">
        <v>6</v>
      </c>
      <c r="AF62" s="32" t="s">
        <v>7</v>
      </c>
      <c r="AG62" s="31" t="s">
        <v>5</v>
      </c>
      <c r="AH62" s="31" t="s">
        <v>6</v>
      </c>
      <c r="AI62" s="32" t="s">
        <v>7</v>
      </c>
      <c r="AJ62" s="31" t="s">
        <v>5</v>
      </c>
      <c r="AK62" s="31" t="s">
        <v>6</v>
      </c>
      <c r="AL62" s="32" t="s">
        <v>7</v>
      </c>
      <c r="AM62" s="31" t="s">
        <v>5</v>
      </c>
      <c r="AN62" s="31" t="s">
        <v>6</v>
      </c>
      <c r="AO62" s="32" t="s">
        <v>7</v>
      </c>
      <c r="AP62" s="31" t="s">
        <v>5</v>
      </c>
      <c r="AQ62" s="31" t="s">
        <v>6</v>
      </c>
      <c r="AR62" s="33" t="s">
        <v>7</v>
      </c>
    </row>
    <row r="63" spans="2:44" ht="57">
      <c r="B63" s="30"/>
      <c r="C63" s="34" t="s">
        <v>8</v>
      </c>
      <c r="D63" s="34" t="s">
        <v>8</v>
      </c>
      <c r="E63" s="35" t="s">
        <v>8</v>
      </c>
      <c r="F63" s="34" t="s">
        <v>9</v>
      </c>
      <c r="G63" s="34" t="s">
        <v>9</v>
      </c>
      <c r="H63" s="35" t="s">
        <v>9</v>
      </c>
      <c r="I63" s="34" t="s">
        <v>10</v>
      </c>
      <c r="J63" s="34" t="s">
        <v>10</v>
      </c>
      <c r="K63" s="35" t="s">
        <v>10</v>
      </c>
      <c r="L63" s="34" t="s">
        <v>11</v>
      </c>
      <c r="M63" s="34" t="s">
        <v>11</v>
      </c>
      <c r="N63" s="35" t="s">
        <v>11</v>
      </c>
      <c r="O63" s="34" t="s">
        <v>12</v>
      </c>
      <c r="P63" s="34" t="s">
        <v>12</v>
      </c>
      <c r="Q63" s="35" t="s">
        <v>12</v>
      </c>
      <c r="R63" s="34" t="s">
        <v>13</v>
      </c>
      <c r="S63" s="34" t="s">
        <v>13</v>
      </c>
      <c r="T63" s="35" t="s">
        <v>13</v>
      </c>
      <c r="U63" s="34" t="s">
        <v>14</v>
      </c>
      <c r="V63" s="34" t="s">
        <v>14</v>
      </c>
      <c r="W63" s="35" t="s">
        <v>14</v>
      </c>
      <c r="X63" s="34" t="s">
        <v>15</v>
      </c>
      <c r="Y63" s="34" t="s">
        <v>15</v>
      </c>
      <c r="Z63" s="35" t="s">
        <v>15</v>
      </c>
      <c r="AA63" s="34" t="s">
        <v>16</v>
      </c>
      <c r="AB63" s="34" t="s">
        <v>16</v>
      </c>
      <c r="AC63" s="35" t="s">
        <v>16</v>
      </c>
      <c r="AD63" s="34" t="s">
        <v>17</v>
      </c>
      <c r="AE63" s="34" t="s">
        <v>17</v>
      </c>
      <c r="AF63" s="35" t="s">
        <v>17</v>
      </c>
      <c r="AG63" s="34" t="s">
        <v>18</v>
      </c>
      <c r="AH63" s="34" t="s">
        <v>18</v>
      </c>
      <c r="AI63" s="35" t="s">
        <v>18</v>
      </c>
      <c r="AJ63" s="34" t="s">
        <v>19</v>
      </c>
      <c r="AK63" s="34" t="s">
        <v>19</v>
      </c>
      <c r="AL63" s="35" t="s">
        <v>19</v>
      </c>
      <c r="AM63" s="34" t="s">
        <v>20</v>
      </c>
      <c r="AN63" s="34" t="s">
        <v>20</v>
      </c>
      <c r="AO63" s="35" t="s">
        <v>20</v>
      </c>
      <c r="AP63" s="34" t="s">
        <v>21</v>
      </c>
      <c r="AQ63" s="34" t="s">
        <v>21</v>
      </c>
      <c r="AR63" s="36" t="s">
        <v>21</v>
      </c>
    </row>
    <row r="64" spans="2:44" ht="18">
      <c r="B64" s="23" t="s">
        <v>22</v>
      </c>
      <c r="C64" s="24">
        <v>145000</v>
      </c>
      <c r="D64" s="24">
        <v>150000</v>
      </c>
      <c r="E64" s="24">
        <v>150000</v>
      </c>
      <c r="F64" s="24">
        <v>165000</v>
      </c>
      <c r="G64" s="24">
        <v>155000</v>
      </c>
      <c r="H64" s="24">
        <v>145000</v>
      </c>
      <c r="I64" s="24">
        <v>155000</v>
      </c>
      <c r="J64" s="24">
        <v>125000</v>
      </c>
      <c r="K64" s="24">
        <v>145000</v>
      </c>
      <c r="L64" s="24">
        <v>75</v>
      </c>
      <c r="M64" s="24">
        <v>76</v>
      </c>
      <c r="N64" s="24">
        <v>80</v>
      </c>
      <c r="O64" s="24">
        <v>20</v>
      </c>
      <c r="P64" s="24">
        <v>20</v>
      </c>
      <c r="Q64" s="24">
        <v>20</v>
      </c>
      <c r="R64" s="24">
        <v>15</v>
      </c>
      <c r="S64" s="24">
        <v>22</v>
      </c>
      <c r="T64" s="24">
        <v>25</v>
      </c>
      <c r="U64" s="24">
        <v>21</v>
      </c>
      <c r="V64" s="24">
        <v>17</v>
      </c>
      <c r="W64" s="24">
        <v>16</v>
      </c>
      <c r="X64" s="24">
        <v>4700</v>
      </c>
      <c r="Y64" s="24">
        <v>7000</v>
      </c>
      <c r="Z64" s="24">
        <v>6000</v>
      </c>
      <c r="AA64" s="24">
        <v>313.33</v>
      </c>
      <c r="AB64" s="24">
        <v>318.18</v>
      </c>
      <c r="AC64" s="24">
        <v>240</v>
      </c>
      <c r="AD64" s="24">
        <v>350</v>
      </c>
      <c r="AE64" s="24">
        <v>350</v>
      </c>
      <c r="AF64" s="24">
        <v>300</v>
      </c>
      <c r="AG64" s="24">
        <v>410</v>
      </c>
      <c r="AH64" s="24">
        <v>385</v>
      </c>
      <c r="AI64" s="24">
        <v>390</v>
      </c>
      <c r="AJ64" s="24">
        <v>1866.67</v>
      </c>
      <c r="AK64" s="24">
        <v>1973.68</v>
      </c>
      <c r="AL64" s="24">
        <v>1875</v>
      </c>
      <c r="AM64" s="24">
        <v>2500</v>
      </c>
      <c r="AN64" s="24">
        <v>2700</v>
      </c>
      <c r="AO64" s="24">
        <v>2400</v>
      </c>
      <c r="AP64" s="24">
        <v>2450</v>
      </c>
      <c r="AQ64" s="24">
        <v>2700</v>
      </c>
      <c r="AR64" s="25">
        <v>2350</v>
      </c>
    </row>
    <row r="65" spans="2:44" ht="18">
      <c r="B65" s="23" t="s">
        <v>23</v>
      </c>
      <c r="C65" s="24">
        <v>115000</v>
      </c>
      <c r="D65" s="24">
        <v>140000</v>
      </c>
      <c r="E65" s="24">
        <v>170000</v>
      </c>
      <c r="F65" s="24">
        <v>165000</v>
      </c>
      <c r="G65" s="24">
        <v>155000</v>
      </c>
      <c r="H65" s="24">
        <v>145000</v>
      </c>
      <c r="I65" s="24">
        <v>140000</v>
      </c>
      <c r="J65" s="24">
        <v>125000</v>
      </c>
      <c r="K65" s="24">
        <v>130000</v>
      </c>
      <c r="L65" s="24">
        <v>65</v>
      </c>
      <c r="M65" s="24">
        <v>85</v>
      </c>
      <c r="N65" s="24">
        <v>70</v>
      </c>
      <c r="O65" s="24">
        <v>20</v>
      </c>
      <c r="P65" s="24">
        <v>20</v>
      </c>
      <c r="Q65" s="24">
        <v>20</v>
      </c>
      <c r="R65" s="24">
        <v>25</v>
      </c>
      <c r="S65" s="24">
        <v>18</v>
      </c>
      <c r="T65" s="24">
        <v>24</v>
      </c>
      <c r="U65" s="24">
        <v>16</v>
      </c>
      <c r="V65" s="24">
        <v>14</v>
      </c>
      <c r="W65" s="24">
        <v>21</v>
      </c>
      <c r="X65" s="24">
        <v>6000</v>
      </c>
      <c r="Y65" s="24">
        <v>5000</v>
      </c>
      <c r="Z65" s="24">
        <v>8500</v>
      </c>
      <c r="AA65" s="24">
        <v>240</v>
      </c>
      <c r="AB65" s="24">
        <v>277.77999999999997</v>
      </c>
      <c r="AC65" s="24">
        <v>354.17</v>
      </c>
      <c r="AD65" s="24">
        <v>350</v>
      </c>
      <c r="AE65" s="24">
        <v>350</v>
      </c>
      <c r="AF65" s="24">
        <v>300</v>
      </c>
      <c r="AG65" s="24">
        <v>408</v>
      </c>
      <c r="AH65" s="24">
        <v>350</v>
      </c>
      <c r="AI65" s="24">
        <v>370</v>
      </c>
      <c r="AJ65" s="24">
        <v>1769.23</v>
      </c>
      <c r="AK65" s="24">
        <v>1647.06</v>
      </c>
      <c r="AL65" s="24">
        <v>2428.5700000000002</v>
      </c>
      <c r="AM65" s="24">
        <v>1800</v>
      </c>
      <c r="AN65" s="24">
        <v>2200</v>
      </c>
      <c r="AO65" s="24">
        <v>2300</v>
      </c>
      <c r="AP65" s="24">
        <v>2450</v>
      </c>
      <c r="AQ65" s="24">
        <v>2700</v>
      </c>
      <c r="AR65" s="25">
        <v>2350</v>
      </c>
    </row>
    <row r="66" spans="2:44" ht="18">
      <c r="B66" s="23" t="s">
        <v>24</v>
      </c>
      <c r="C66" s="24">
        <v>165000</v>
      </c>
      <c r="D66" s="24">
        <v>140000</v>
      </c>
      <c r="E66" s="24">
        <v>145000</v>
      </c>
      <c r="F66" s="24">
        <v>165000</v>
      </c>
      <c r="G66" s="24">
        <v>155000</v>
      </c>
      <c r="H66" s="24">
        <v>145000</v>
      </c>
      <c r="I66" s="24">
        <v>165000</v>
      </c>
      <c r="J66" s="24">
        <v>150000</v>
      </c>
      <c r="K66" s="24">
        <v>155000</v>
      </c>
      <c r="L66" s="24">
        <v>65</v>
      </c>
      <c r="M66" s="24">
        <v>72</v>
      </c>
      <c r="N66" s="24">
        <v>78</v>
      </c>
      <c r="O66" s="24">
        <v>20</v>
      </c>
      <c r="P66" s="24">
        <v>20</v>
      </c>
      <c r="Q66" s="24">
        <v>20</v>
      </c>
      <c r="R66" s="24">
        <v>25</v>
      </c>
      <c r="S66" s="24">
        <v>17</v>
      </c>
      <c r="T66" s="24">
        <v>14</v>
      </c>
      <c r="U66" s="24">
        <v>15</v>
      </c>
      <c r="V66" s="24">
        <v>21</v>
      </c>
      <c r="W66" s="24">
        <v>20</v>
      </c>
      <c r="X66" s="24">
        <v>4000</v>
      </c>
      <c r="Y66" s="24">
        <v>8000</v>
      </c>
      <c r="Z66" s="24">
        <v>8000</v>
      </c>
      <c r="AA66" s="24">
        <v>160</v>
      </c>
      <c r="AB66" s="24">
        <v>470.59</v>
      </c>
      <c r="AC66" s="24">
        <v>571.42999999999995</v>
      </c>
      <c r="AD66" s="24">
        <v>350</v>
      </c>
      <c r="AE66" s="24">
        <v>350</v>
      </c>
      <c r="AF66" s="24">
        <v>300</v>
      </c>
      <c r="AG66" s="24">
        <v>345</v>
      </c>
      <c r="AH66" s="24">
        <v>405</v>
      </c>
      <c r="AI66" s="24">
        <v>352</v>
      </c>
      <c r="AJ66" s="24">
        <v>2538.46</v>
      </c>
      <c r="AK66" s="24">
        <v>1944.44</v>
      </c>
      <c r="AL66" s="24">
        <v>1858.97</v>
      </c>
      <c r="AM66" s="24">
        <v>2500</v>
      </c>
      <c r="AN66" s="24">
        <v>2500</v>
      </c>
      <c r="AO66" s="24">
        <v>2600</v>
      </c>
      <c r="AP66" s="24">
        <v>2450</v>
      </c>
      <c r="AQ66" s="24">
        <v>2700</v>
      </c>
      <c r="AR66" s="25">
        <v>2350</v>
      </c>
    </row>
    <row r="67" spans="2:44" ht="18">
      <c r="B67" s="23" t="s">
        <v>25</v>
      </c>
      <c r="C67" s="24">
        <v>125000</v>
      </c>
      <c r="D67" s="24">
        <v>155000</v>
      </c>
      <c r="E67" s="24">
        <v>155000</v>
      </c>
      <c r="F67" s="24">
        <v>165000</v>
      </c>
      <c r="G67" s="24">
        <v>155000</v>
      </c>
      <c r="H67" s="24">
        <v>145000</v>
      </c>
      <c r="I67" s="24">
        <v>150000</v>
      </c>
      <c r="J67" s="24">
        <v>145000</v>
      </c>
      <c r="K67" s="24">
        <v>125000</v>
      </c>
      <c r="L67" s="24">
        <v>65</v>
      </c>
      <c r="M67" s="24">
        <v>70</v>
      </c>
      <c r="N67" s="24">
        <v>85</v>
      </c>
      <c r="O67" s="24">
        <v>20</v>
      </c>
      <c r="P67" s="24">
        <v>20</v>
      </c>
      <c r="Q67" s="24">
        <v>20</v>
      </c>
      <c r="R67" s="24">
        <v>19</v>
      </c>
      <c r="S67" s="24">
        <v>15</v>
      </c>
      <c r="T67" s="24">
        <v>21</v>
      </c>
      <c r="U67" s="24">
        <v>22</v>
      </c>
      <c r="V67" s="24">
        <v>20</v>
      </c>
      <c r="W67" s="24">
        <v>17</v>
      </c>
      <c r="X67" s="24">
        <v>9000</v>
      </c>
      <c r="Y67" s="24">
        <v>8500</v>
      </c>
      <c r="Z67" s="24">
        <v>7000</v>
      </c>
      <c r="AA67" s="24">
        <v>473.68</v>
      </c>
      <c r="AB67" s="24">
        <v>566.66999999999996</v>
      </c>
      <c r="AC67" s="24">
        <v>333.33</v>
      </c>
      <c r="AD67" s="24">
        <v>350</v>
      </c>
      <c r="AE67" s="24">
        <v>350</v>
      </c>
      <c r="AF67" s="24">
        <v>300</v>
      </c>
      <c r="AG67" s="24">
        <v>350</v>
      </c>
      <c r="AH67" s="24">
        <v>400</v>
      </c>
      <c r="AI67" s="24">
        <v>388</v>
      </c>
      <c r="AJ67" s="24">
        <v>1923.08</v>
      </c>
      <c r="AK67" s="24">
        <v>2214.29</v>
      </c>
      <c r="AL67" s="24">
        <v>1823.53</v>
      </c>
      <c r="AM67" s="24">
        <v>2100</v>
      </c>
      <c r="AN67" s="24">
        <v>2400</v>
      </c>
      <c r="AO67" s="24">
        <v>2400</v>
      </c>
      <c r="AP67" s="24">
        <v>2450</v>
      </c>
      <c r="AQ67" s="24">
        <v>2700</v>
      </c>
      <c r="AR67" s="25">
        <v>2350</v>
      </c>
    </row>
    <row r="68" spans="2:44" ht="18">
      <c r="B68" s="23" t="s">
        <v>26</v>
      </c>
      <c r="C68" s="24">
        <v>150000</v>
      </c>
      <c r="D68" s="24">
        <v>130000</v>
      </c>
      <c r="E68" s="24">
        <v>150000</v>
      </c>
      <c r="F68" s="24">
        <v>165000</v>
      </c>
      <c r="G68" s="24">
        <v>155000</v>
      </c>
      <c r="H68" s="24">
        <v>145000</v>
      </c>
      <c r="I68" s="24">
        <v>170000</v>
      </c>
      <c r="J68" s="24">
        <v>155000</v>
      </c>
      <c r="K68" s="24">
        <v>130000</v>
      </c>
      <c r="L68" s="24">
        <v>75</v>
      </c>
      <c r="M68" s="24">
        <v>63</v>
      </c>
      <c r="N68" s="24">
        <v>80</v>
      </c>
      <c r="O68" s="24">
        <v>20</v>
      </c>
      <c r="P68" s="24">
        <v>20</v>
      </c>
      <c r="Q68" s="24">
        <v>20</v>
      </c>
      <c r="R68" s="24">
        <v>24</v>
      </c>
      <c r="S68" s="24">
        <v>15</v>
      </c>
      <c r="T68" s="24">
        <v>30</v>
      </c>
      <c r="U68" s="24">
        <v>23</v>
      </c>
      <c r="V68" s="24">
        <v>24</v>
      </c>
      <c r="W68" s="24">
        <v>20</v>
      </c>
      <c r="X68" s="24">
        <v>9500</v>
      </c>
      <c r="Y68" s="24">
        <v>9000</v>
      </c>
      <c r="Z68" s="24">
        <v>8000</v>
      </c>
      <c r="AA68" s="24">
        <v>395.83</v>
      </c>
      <c r="AB68" s="24">
        <v>600</v>
      </c>
      <c r="AC68" s="24">
        <v>266.67</v>
      </c>
      <c r="AD68" s="24">
        <v>350</v>
      </c>
      <c r="AE68" s="24">
        <v>350</v>
      </c>
      <c r="AF68" s="24">
        <v>300</v>
      </c>
      <c r="AG68" s="24">
        <v>360</v>
      </c>
      <c r="AH68" s="24">
        <v>350</v>
      </c>
      <c r="AI68" s="24">
        <v>425</v>
      </c>
      <c r="AJ68" s="24">
        <v>2000</v>
      </c>
      <c r="AK68" s="24">
        <v>2063.4899999999998</v>
      </c>
      <c r="AL68" s="24">
        <v>1875</v>
      </c>
      <c r="AM68" s="24">
        <v>2100</v>
      </c>
      <c r="AN68" s="24">
        <v>2800</v>
      </c>
      <c r="AO68" s="24">
        <v>3000</v>
      </c>
      <c r="AP68" s="24">
        <v>2450</v>
      </c>
      <c r="AQ68" s="24">
        <v>2700</v>
      </c>
      <c r="AR68" s="25">
        <v>2350</v>
      </c>
    </row>
    <row r="69" spans="2:44" ht="18">
      <c r="B69" s="26" t="s">
        <v>27</v>
      </c>
      <c r="C69" s="27">
        <f t="shared" ref="C69:AR69" si="20">SUM(C64:C68)</f>
        <v>700000</v>
      </c>
      <c r="D69" s="27">
        <f t="shared" si="20"/>
        <v>715000</v>
      </c>
      <c r="E69" s="27">
        <f t="shared" si="20"/>
        <v>770000</v>
      </c>
      <c r="F69" s="27">
        <f t="shared" si="20"/>
        <v>825000</v>
      </c>
      <c r="G69" s="27">
        <f t="shared" si="20"/>
        <v>775000</v>
      </c>
      <c r="H69" s="27">
        <f t="shared" si="20"/>
        <v>725000</v>
      </c>
      <c r="I69" s="27">
        <f t="shared" si="20"/>
        <v>780000</v>
      </c>
      <c r="J69" s="27">
        <f t="shared" si="20"/>
        <v>700000</v>
      </c>
      <c r="K69" s="27">
        <f t="shared" si="20"/>
        <v>685000</v>
      </c>
      <c r="L69" s="27">
        <f t="shared" si="20"/>
        <v>345</v>
      </c>
      <c r="M69" s="27">
        <f t="shared" si="20"/>
        <v>366</v>
      </c>
      <c r="N69" s="27">
        <f t="shared" si="20"/>
        <v>393</v>
      </c>
      <c r="O69" s="27">
        <f t="shared" si="20"/>
        <v>100</v>
      </c>
      <c r="P69" s="27">
        <f t="shared" si="20"/>
        <v>100</v>
      </c>
      <c r="Q69" s="27">
        <f t="shared" si="20"/>
        <v>100</v>
      </c>
      <c r="R69" s="27">
        <f t="shared" si="20"/>
        <v>108</v>
      </c>
      <c r="S69" s="27">
        <f t="shared" si="20"/>
        <v>87</v>
      </c>
      <c r="T69" s="27">
        <f t="shared" si="20"/>
        <v>114</v>
      </c>
      <c r="U69" s="27">
        <f t="shared" si="20"/>
        <v>97</v>
      </c>
      <c r="V69" s="27">
        <f t="shared" si="20"/>
        <v>96</v>
      </c>
      <c r="W69" s="27">
        <f t="shared" si="20"/>
        <v>94</v>
      </c>
      <c r="X69" s="27">
        <f t="shared" si="20"/>
        <v>33200</v>
      </c>
      <c r="Y69" s="27">
        <f t="shared" si="20"/>
        <v>37500</v>
      </c>
      <c r="Z69" s="27">
        <f t="shared" si="20"/>
        <v>37500</v>
      </c>
      <c r="AA69" s="27">
        <f t="shared" si="20"/>
        <v>1582.84</v>
      </c>
      <c r="AB69" s="27">
        <f t="shared" si="20"/>
        <v>2233.2199999999998</v>
      </c>
      <c r="AC69" s="27">
        <f t="shared" si="20"/>
        <v>1765.6</v>
      </c>
      <c r="AD69" s="27">
        <f t="shared" si="20"/>
        <v>1750</v>
      </c>
      <c r="AE69" s="27">
        <f t="shared" si="20"/>
        <v>1750</v>
      </c>
      <c r="AF69" s="27">
        <f t="shared" si="20"/>
        <v>1500</v>
      </c>
      <c r="AG69" s="27">
        <f t="shared" si="20"/>
        <v>1873</v>
      </c>
      <c r="AH69" s="27">
        <f t="shared" si="20"/>
        <v>1890</v>
      </c>
      <c r="AI69" s="27">
        <f t="shared" si="20"/>
        <v>1925</v>
      </c>
      <c r="AJ69" s="27">
        <f t="shared" si="20"/>
        <v>10097.44</v>
      </c>
      <c r="AK69" s="27">
        <f t="shared" si="20"/>
        <v>9842.9599999999991</v>
      </c>
      <c r="AL69" s="27">
        <f t="shared" si="20"/>
        <v>9861.07</v>
      </c>
      <c r="AM69" s="27">
        <f t="shared" si="20"/>
        <v>11000</v>
      </c>
      <c r="AN69" s="27">
        <f t="shared" si="20"/>
        <v>12600</v>
      </c>
      <c r="AO69" s="27">
        <f t="shared" si="20"/>
        <v>12700</v>
      </c>
      <c r="AP69" s="27">
        <f t="shared" si="20"/>
        <v>12250</v>
      </c>
      <c r="AQ69" s="27">
        <f t="shared" si="20"/>
        <v>13500</v>
      </c>
      <c r="AR69" s="28">
        <f t="shared" si="20"/>
        <v>11750</v>
      </c>
    </row>
  </sheetData>
  <mergeCells count="6">
    <mergeCell ref="C49:AR49"/>
    <mergeCell ref="C61:AR61"/>
    <mergeCell ref="A4:G4"/>
    <mergeCell ref="C8:AR8"/>
    <mergeCell ref="C25:AR25"/>
    <mergeCell ref="C37:AR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7293F-23B3-4F59-ADD0-68D5E2F4E0AA}">
  <dimension ref="A2:Z37"/>
  <sheetViews>
    <sheetView tabSelected="1" topLeftCell="K24" workbookViewId="0">
      <selection activeCell="B32" sqref="B32"/>
    </sheetView>
  </sheetViews>
  <sheetFormatPr defaultRowHeight="15"/>
  <cols>
    <col min="1" max="1" width="34" customWidth="1"/>
    <col min="2" max="3" width="15.7109375" customWidth="1"/>
    <col min="16" max="16" width="20.42578125" bestFit="1" customWidth="1"/>
  </cols>
  <sheetData>
    <row r="2" spans="1:26" ht="27">
      <c r="A2" s="83" t="s">
        <v>45</v>
      </c>
      <c r="B2" s="84"/>
      <c r="C2" s="85"/>
      <c r="D2" s="86" t="s">
        <v>0</v>
      </c>
      <c r="E2" s="87"/>
      <c r="F2" s="87"/>
    </row>
    <row r="3" spans="1:26" s="46" customFormat="1" ht="33.75" customHeight="1">
      <c r="A3" s="88" t="s">
        <v>46</v>
      </c>
      <c r="B3" s="89"/>
      <c r="C3" s="89"/>
      <c r="D3" s="89"/>
      <c r="E3" s="89"/>
      <c r="F3" s="89"/>
      <c r="G3" s="89"/>
      <c r="H3" s="89"/>
      <c r="I3" s="90"/>
      <c r="M3" s="95" t="s">
        <v>47</v>
      </c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</row>
    <row r="4" spans="1:26">
      <c r="A4" s="51"/>
      <c r="B4" s="51"/>
      <c r="C4" s="51"/>
      <c r="D4" s="51"/>
      <c r="E4" s="51"/>
      <c r="F4" s="51"/>
      <c r="G4" s="51"/>
      <c r="H4" s="51"/>
      <c r="I4" s="51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 spans="1:26" ht="45.75" customHeight="1">
      <c r="A5" s="52" t="s">
        <v>48</v>
      </c>
      <c r="B5" s="51"/>
      <c r="C5" s="51"/>
      <c r="D5" s="51"/>
      <c r="E5" s="51"/>
      <c r="F5" s="51"/>
      <c r="G5" s="51"/>
      <c r="H5" s="51"/>
      <c r="I5" s="51"/>
      <c r="M5" s="97" t="s">
        <v>49</v>
      </c>
      <c r="N5" s="97"/>
      <c r="O5" s="97"/>
      <c r="P5" s="97"/>
      <c r="Q5" s="97"/>
      <c r="R5" s="97"/>
      <c r="S5" s="57"/>
      <c r="T5" s="57"/>
      <c r="U5" s="57"/>
      <c r="V5" s="57"/>
      <c r="W5" s="57"/>
      <c r="X5" s="57"/>
      <c r="Y5" s="57"/>
      <c r="Z5" s="57"/>
    </row>
    <row r="6" spans="1:26">
      <c r="A6" s="51"/>
      <c r="B6" s="51"/>
      <c r="C6" s="51"/>
      <c r="D6" s="51"/>
      <c r="E6" s="51"/>
      <c r="F6" s="51"/>
      <c r="G6" s="51"/>
      <c r="H6" s="51"/>
      <c r="I6" s="51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 spans="1:26" ht="45" customHeight="1">
      <c r="A7" s="53">
        <f>SUM(DATA!C16:E16)</f>
        <v>2346500</v>
      </c>
      <c r="B7" s="54" t="s">
        <v>50</v>
      </c>
      <c r="C7" s="51"/>
      <c r="D7" s="51"/>
      <c r="E7" s="51"/>
      <c r="F7" s="51"/>
      <c r="G7" s="51"/>
      <c r="H7" s="51"/>
      <c r="I7" s="51"/>
      <c r="M7" s="98">
        <f>SUM(DATA!R16:T16)</f>
        <v>307</v>
      </c>
      <c r="N7" s="99"/>
      <c r="O7" s="99"/>
      <c r="P7" s="58" t="s">
        <v>51</v>
      </c>
      <c r="Q7" s="57"/>
      <c r="R7" s="57"/>
      <c r="S7" s="57"/>
      <c r="T7" s="57"/>
      <c r="U7" s="57"/>
      <c r="V7" s="57"/>
      <c r="W7" s="57"/>
      <c r="X7" s="57"/>
      <c r="Y7" s="57"/>
      <c r="Z7" s="57"/>
    </row>
    <row r="8" spans="1:26" ht="26.25">
      <c r="A8" s="51"/>
      <c r="B8" s="51"/>
      <c r="C8" s="51"/>
      <c r="D8" s="51"/>
      <c r="E8" s="51"/>
      <c r="F8" s="51"/>
      <c r="G8" s="51"/>
      <c r="H8" s="51"/>
      <c r="I8" s="51"/>
      <c r="M8" s="59"/>
      <c r="N8" s="59"/>
      <c r="O8" s="59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 spans="1:26" ht="39" customHeight="1">
      <c r="A9" s="53">
        <f>SUM(DATA!F16:H16)</f>
        <v>2200000</v>
      </c>
      <c r="B9" s="55" t="s">
        <v>52</v>
      </c>
      <c r="C9" s="51"/>
      <c r="D9" s="51"/>
      <c r="E9" s="51"/>
      <c r="F9" s="51"/>
      <c r="G9" s="51"/>
      <c r="H9" s="51"/>
      <c r="I9" s="51"/>
      <c r="M9" s="98">
        <f>SUM(DATA!O16:Q16)</f>
        <v>350</v>
      </c>
      <c r="N9" s="99"/>
      <c r="O9" s="99"/>
      <c r="P9" s="60" t="s">
        <v>53</v>
      </c>
      <c r="Q9" s="57"/>
      <c r="R9" s="57"/>
      <c r="S9" s="57"/>
      <c r="T9" s="57"/>
      <c r="U9" s="57"/>
      <c r="V9" s="57"/>
      <c r="W9" s="57"/>
      <c r="X9" s="57"/>
      <c r="Y9" s="57"/>
      <c r="Z9" s="57"/>
    </row>
    <row r="10" spans="1:26" ht="26.25">
      <c r="A10" s="51"/>
      <c r="B10" s="51"/>
      <c r="C10" s="51"/>
      <c r="D10" s="51"/>
      <c r="E10" s="51"/>
      <c r="F10" s="51"/>
      <c r="G10" s="51"/>
      <c r="H10" s="51"/>
      <c r="I10" s="51"/>
      <c r="M10" s="59"/>
      <c r="N10" s="59"/>
      <c r="O10" s="59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</row>
    <row r="11" spans="1:26" ht="24.75" customHeight="1">
      <c r="A11" s="56">
        <f>A7/A9</f>
        <v>1.0665909090909091</v>
      </c>
      <c r="B11" s="55" t="s">
        <v>52</v>
      </c>
      <c r="C11" s="51"/>
      <c r="D11" s="51"/>
      <c r="E11" s="51"/>
      <c r="F11" s="51"/>
      <c r="G11" s="51"/>
      <c r="H11" s="51"/>
      <c r="I11" s="51"/>
      <c r="M11" s="104">
        <f>M7/M9</f>
        <v>0.87714285714285711</v>
      </c>
      <c r="N11" s="104"/>
      <c r="O11" s="104"/>
      <c r="P11" s="60" t="s">
        <v>54</v>
      </c>
      <c r="Q11" s="57"/>
      <c r="R11" s="57"/>
      <c r="S11" s="57"/>
      <c r="T11" s="57"/>
      <c r="U11" s="57"/>
      <c r="V11" s="57"/>
      <c r="W11" s="57"/>
      <c r="X11" s="57"/>
      <c r="Y11" s="57"/>
      <c r="Z11" s="57"/>
    </row>
    <row r="12" spans="1:26">
      <c r="A12" s="51"/>
      <c r="B12" s="51"/>
      <c r="C12" s="51"/>
      <c r="D12" s="51"/>
      <c r="E12" s="51"/>
      <c r="F12" s="51"/>
      <c r="G12" s="51"/>
      <c r="H12" s="51"/>
      <c r="I12" s="51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</row>
    <row r="13" spans="1:26">
      <c r="A13" s="51"/>
      <c r="B13" s="51"/>
      <c r="C13" s="51"/>
      <c r="D13" s="51"/>
      <c r="E13" s="51"/>
      <c r="F13" s="51"/>
      <c r="G13" s="51"/>
      <c r="H13" s="51"/>
      <c r="I13" s="51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spans="1:26">
      <c r="A14" s="51"/>
      <c r="B14" s="51"/>
      <c r="C14" s="51"/>
      <c r="D14" s="51"/>
      <c r="E14" s="51"/>
      <c r="F14" s="51"/>
      <c r="G14" s="51"/>
      <c r="H14" s="51"/>
      <c r="I14" s="51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 spans="1:26">
      <c r="A15" s="51"/>
      <c r="B15" s="51"/>
      <c r="C15" s="51"/>
      <c r="D15" s="51"/>
      <c r="E15" s="51"/>
      <c r="F15" s="51"/>
      <c r="G15" s="51"/>
      <c r="H15" s="51"/>
      <c r="I15" s="51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</row>
    <row r="16" spans="1:26">
      <c r="A16" s="51"/>
      <c r="B16" s="51"/>
      <c r="C16" s="51"/>
      <c r="D16" s="51"/>
      <c r="E16" s="51"/>
      <c r="F16" s="51"/>
      <c r="G16" s="51"/>
      <c r="H16" s="51"/>
      <c r="I16" s="51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</row>
    <row r="17" spans="1:26">
      <c r="A17" s="51"/>
      <c r="B17" s="51"/>
      <c r="C17" s="51"/>
      <c r="D17" s="51"/>
      <c r="E17" s="51"/>
      <c r="F17" s="51"/>
      <c r="G17" s="51"/>
      <c r="H17" s="51"/>
      <c r="I17" s="51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</row>
    <row r="21" spans="1:26" ht="15" customHeight="1">
      <c r="A21" s="91" t="s">
        <v>55</v>
      </c>
      <c r="B21" s="92"/>
      <c r="C21" s="92"/>
      <c r="D21" s="92"/>
      <c r="E21" s="92"/>
      <c r="F21" s="92"/>
      <c r="G21" s="92"/>
      <c r="H21" s="92"/>
      <c r="I21" s="92"/>
      <c r="M21" s="93" t="s">
        <v>56</v>
      </c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</row>
    <row r="22" spans="1:26" ht="15" customHeight="1">
      <c r="A22" s="91"/>
      <c r="B22" s="92"/>
      <c r="C22" s="92"/>
      <c r="D22" s="92"/>
      <c r="E22" s="92"/>
      <c r="F22" s="92"/>
      <c r="G22" s="92"/>
      <c r="H22" s="92"/>
      <c r="I22" s="92"/>
      <c r="M22" s="93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</row>
    <row r="23" spans="1:26">
      <c r="A23" s="61"/>
      <c r="B23" s="61"/>
      <c r="C23" s="61"/>
      <c r="D23" s="61"/>
      <c r="E23" s="61"/>
      <c r="F23" s="61"/>
      <c r="G23" s="61"/>
      <c r="H23" s="61"/>
      <c r="I23" s="61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</row>
    <row r="24" spans="1:26" ht="42.75" customHeight="1">
      <c r="A24" s="62" t="s">
        <v>57</v>
      </c>
      <c r="B24" s="61"/>
      <c r="C24" s="61"/>
      <c r="D24" s="61"/>
      <c r="E24" s="61"/>
      <c r="F24" s="61"/>
      <c r="G24" s="61"/>
      <c r="H24" s="61"/>
      <c r="I24" s="61"/>
      <c r="M24" s="100" t="s">
        <v>58</v>
      </c>
      <c r="N24" s="100"/>
      <c r="O24" s="100"/>
      <c r="P24" s="100"/>
      <c r="Q24" s="69"/>
      <c r="R24" s="69"/>
      <c r="S24" s="69"/>
      <c r="T24" s="69"/>
      <c r="U24" s="69"/>
      <c r="V24" s="69"/>
      <c r="W24" s="69"/>
      <c r="X24" s="69"/>
      <c r="Y24" s="69"/>
      <c r="Z24" s="69"/>
    </row>
    <row r="25" spans="1:26" ht="8.25" customHeight="1">
      <c r="A25" s="61"/>
      <c r="B25" s="61"/>
      <c r="C25" s="61"/>
      <c r="D25" s="61"/>
      <c r="E25" s="61"/>
      <c r="F25" s="61"/>
      <c r="G25" s="61"/>
      <c r="H25" s="61"/>
      <c r="I25" s="61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</row>
    <row r="26" spans="1:26" ht="52.5" customHeight="1">
      <c r="A26" s="63">
        <f>SUM(DATA!AJ16:AL16)/3</f>
        <v>2431.3306666666667</v>
      </c>
      <c r="B26" s="64" t="s">
        <v>59</v>
      </c>
      <c r="C26" s="61"/>
      <c r="D26" s="61"/>
      <c r="E26" s="61"/>
      <c r="F26" s="61"/>
      <c r="G26" s="61"/>
      <c r="H26" s="61"/>
      <c r="I26" s="61"/>
      <c r="M26" s="105">
        <f>SUM(DATA!AA16:AC16)/3</f>
        <v>438.46866666666665</v>
      </c>
      <c r="N26" s="105"/>
      <c r="O26" s="105"/>
      <c r="P26" s="70" t="s">
        <v>60</v>
      </c>
      <c r="Q26" s="69"/>
      <c r="R26" s="69"/>
      <c r="S26" s="69"/>
      <c r="T26" s="69"/>
      <c r="U26" s="69"/>
      <c r="V26" s="69"/>
      <c r="W26" s="69"/>
      <c r="X26" s="69"/>
      <c r="Y26" s="69"/>
      <c r="Z26" s="69"/>
    </row>
    <row r="27" spans="1:26" ht="24">
      <c r="A27" s="65"/>
      <c r="B27" s="66"/>
      <c r="C27" s="61"/>
      <c r="D27" s="61"/>
      <c r="E27" s="61"/>
      <c r="F27" s="61"/>
      <c r="G27" s="61"/>
      <c r="H27" s="61"/>
      <c r="I27" s="61"/>
      <c r="M27" s="71"/>
      <c r="N27" s="71"/>
      <c r="O27" s="71"/>
      <c r="P27" s="70"/>
      <c r="Q27" s="69"/>
      <c r="R27" s="69"/>
      <c r="S27" s="69"/>
      <c r="T27" s="69"/>
      <c r="U27" s="69"/>
      <c r="V27" s="69"/>
      <c r="W27" s="69"/>
      <c r="X27" s="69"/>
      <c r="Y27" s="69"/>
      <c r="Z27" s="69"/>
    </row>
    <row r="28" spans="1:26" ht="36" customHeight="1">
      <c r="A28" s="63">
        <f>SUM(DATA!AP16:AR16)/3</f>
        <v>2500</v>
      </c>
      <c r="B28" s="64" t="s">
        <v>61</v>
      </c>
      <c r="C28" s="61"/>
      <c r="D28" s="61"/>
      <c r="E28" s="61"/>
      <c r="F28" s="61"/>
      <c r="G28" s="61"/>
      <c r="H28" s="61"/>
      <c r="I28" s="61"/>
      <c r="M28" s="101">
        <f>SUM(DATA!AD16:AF16)/3</f>
        <v>350</v>
      </c>
      <c r="N28" s="102"/>
      <c r="O28" s="102"/>
      <c r="P28" s="70" t="s">
        <v>52</v>
      </c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spans="1:26" ht="24">
      <c r="A29" s="65"/>
      <c r="B29" s="67"/>
      <c r="C29" s="61"/>
      <c r="D29" s="61"/>
      <c r="E29" s="61"/>
      <c r="F29" s="61"/>
      <c r="G29" s="61"/>
      <c r="H29" s="61"/>
      <c r="I29" s="61"/>
      <c r="M29" s="71"/>
      <c r="N29" s="71"/>
      <c r="O29" s="71"/>
      <c r="P29" s="70"/>
      <c r="Q29" s="69"/>
      <c r="R29" s="69"/>
      <c r="S29" s="69"/>
      <c r="T29" s="69"/>
      <c r="U29" s="69"/>
      <c r="V29" s="69"/>
      <c r="W29" s="69"/>
      <c r="X29" s="69"/>
      <c r="Y29" s="69"/>
      <c r="Z29" s="69"/>
    </row>
    <row r="30" spans="1:26" ht="27.75" customHeight="1">
      <c r="A30" s="68">
        <f>A26/A28</f>
        <v>0.9725322666666667</v>
      </c>
      <c r="B30" s="67" t="s">
        <v>54</v>
      </c>
      <c r="C30" s="61"/>
      <c r="D30" s="61"/>
      <c r="E30" s="61"/>
      <c r="F30" s="61"/>
      <c r="G30" s="61"/>
      <c r="H30" s="61"/>
      <c r="I30" s="61"/>
      <c r="M30" s="103">
        <f>M26/M28</f>
        <v>1.2527676190476189</v>
      </c>
      <c r="N30" s="103"/>
      <c r="O30" s="103"/>
      <c r="P30" s="70" t="s">
        <v>52</v>
      </c>
      <c r="Q30" s="69"/>
      <c r="R30" s="69"/>
      <c r="S30" s="69"/>
      <c r="T30" s="69"/>
      <c r="U30" s="69"/>
      <c r="V30" s="69"/>
      <c r="W30" s="69"/>
      <c r="X30" s="69"/>
      <c r="Y30" s="69"/>
      <c r="Z30" s="69"/>
    </row>
    <row r="31" spans="1:26">
      <c r="A31" s="61"/>
      <c r="B31" s="61"/>
      <c r="C31" s="61"/>
      <c r="D31" s="61"/>
      <c r="E31" s="61"/>
      <c r="F31" s="61"/>
      <c r="G31" s="61"/>
      <c r="H31" s="61"/>
      <c r="I31" s="61"/>
      <c r="M31" s="72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</row>
    <row r="32" spans="1:26">
      <c r="A32" s="61"/>
      <c r="B32" s="61"/>
      <c r="C32" s="61"/>
      <c r="D32" s="61"/>
      <c r="E32" s="61"/>
      <c r="F32" s="61"/>
      <c r="G32" s="61"/>
      <c r="H32" s="61"/>
      <c r="I32" s="61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</row>
    <row r="33" spans="1:26">
      <c r="A33" s="61"/>
      <c r="B33" s="61"/>
      <c r="C33" s="61"/>
      <c r="D33" s="61"/>
      <c r="E33" s="61"/>
      <c r="F33" s="61"/>
      <c r="G33" s="61"/>
      <c r="H33" s="61"/>
      <c r="I33" s="61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 spans="1:26">
      <c r="A34" s="61"/>
      <c r="B34" s="61"/>
      <c r="C34" s="61"/>
      <c r="D34" s="61"/>
      <c r="E34" s="61"/>
      <c r="F34" s="61"/>
      <c r="G34" s="61"/>
      <c r="H34" s="61"/>
      <c r="I34" s="61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</row>
    <row r="35" spans="1:26">
      <c r="A35" s="61"/>
      <c r="B35" s="61"/>
      <c r="C35" s="61"/>
      <c r="D35" s="61"/>
      <c r="E35" s="61"/>
      <c r="F35" s="61"/>
      <c r="G35" s="61"/>
      <c r="H35" s="61"/>
      <c r="I35" s="61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</row>
    <row r="36" spans="1:26">
      <c r="A36" s="61"/>
      <c r="B36" s="61"/>
      <c r="C36" s="61"/>
      <c r="D36" s="61"/>
      <c r="E36" s="61"/>
      <c r="F36" s="61"/>
      <c r="G36" s="61"/>
      <c r="H36" s="61"/>
      <c r="I36" s="61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</row>
    <row r="37" spans="1:26"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</row>
  </sheetData>
  <mergeCells count="14">
    <mergeCell ref="M24:P24"/>
    <mergeCell ref="M26:O26"/>
    <mergeCell ref="M28:O28"/>
    <mergeCell ref="M30:O30"/>
    <mergeCell ref="M11:O11"/>
    <mergeCell ref="A2:C2"/>
    <mergeCell ref="D2:F2"/>
    <mergeCell ref="A3:I3"/>
    <mergeCell ref="A21:I22"/>
    <mergeCell ref="M21:Z22"/>
    <mergeCell ref="M3:Z3"/>
    <mergeCell ref="M5:R5"/>
    <mergeCell ref="M7:O7"/>
    <mergeCell ref="M9:O9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B75791-4FE8-4750-8985-4C2F19E5E286}">
          <x14:formula1>
            <xm:f>DATA!$H$1:$H$4</xm:f>
          </x14:formula1>
          <xm:sqref>D2:F2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2025-11-12T16:38:55Z</dcterms:created>
  <dcterms:modified xsi:type="dcterms:W3CDTF">2025-11-13T13:38:39Z</dcterms:modified>
  <cp:category/>
  <cp:contentStatus/>
</cp:coreProperties>
</file>